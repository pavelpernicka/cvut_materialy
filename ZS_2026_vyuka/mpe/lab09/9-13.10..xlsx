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bookViews>
    <workbookView xWindow="0" yWindow="0" windowWidth="9915" windowHeight="843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M3" i="1"/>
  <c r="L3" i="1"/>
  <c r="J2" i="1"/>
  <c r="F3" i="1"/>
  <c r="F4" i="1"/>
  <c r="F5" i="1"/>
  <c r="F6" i="1"/>
  <c r="F7" i="1"/>
  <c r="F8" i="1"/>
  <c r="F9" i="1"/>
  <c r="F10" i="1"/>
  <c r="F2" i="1"/>
  <c r="B3" i="1"/>
  <c r="B5" i="1"/>
  <c r="B7" i="1"/>
  <c r="B9" i="1"/>
  <c r="B2" i="1"/>
  <c r="C3" i="1"/>
  <c r="C4" i="1"/>
  <c r="B4" i="1" s="1"/>
  <c r="C5" i="1"/>
  <c r="C6" i="1"/>
  <c r="B6" i="1" s="1"/>
  <c r="C7" i="1"/>
  <c r="C8" i="1"/>
  <c r="B8" i="1" s="1"/>
  <c r="C9" i="1"/>
  <c r="C10" i="1"/>
  <c r="B10" i="1" s="1"/>
  <c r="C2" i="1"/>
  <c r="H2" i="1"/>
  <c r="G2" i="1"/>
  <c r="E3" i="1" s="1"/>
  <c r="E4" i="1"/>
  <c r="E6" i="1"/>
  <c r="E8" i="1"/>
  <c r="E10" i="1"/>
  <c r="E2" i="1" l="1"/>
  <c r="E9" i="1"/>
  <c r="E7" i="1"/>
  <c r="E5" i="1"/>
</calcChain>
</file>

<file path=xl/sharedStrings.xml><?xml version="1.0" encoding="utf-8"?>
<sst xmlns="http://schemas.openxmlformats.org/spreadsheetml/2006/main" count="11" uniqueCount="11">
  <si>
    <t>t</t>
  </si>
  <si>
    <t>T</t>
  </si>
  <si>
    <t>U [mv]</t>
  </si>
  <si>
    <t>F</t>
  </si>
  <si>
    <t>C</t>
  </si>
  <si>
    <t>g</t>
  </si>
  <si>
    <t>W</t>
  </si>
  <si>
    <t>1/T</t>
  </si>
  <si>
    <t>ln kond</t>
  </si>
  <si>
    <t>ln g1</t>
  </si>
  <si>
    <t>ln 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</si>
</sst>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List1!$E$1</c:f>
              <c:strCache>
                <c:ptCount val="1"/>
                <c:pt idx="0">
                  <c:v>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0"/>
            <c:spPr>
              <a:noFill/>
              <a:ln w="1905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417787776527934"/>
                  <c:y val="-7.45472126988911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List1!$B$2:$B$10</c:f>
              <c:numCache>
                <c:formatCode>General</c:formatCode>
                <c:ptCount val="9"/>
                <c:pt idx="0">
                  <c:v>3.3669466843992525E-3</c:v>
                </c:pt>
                <c:pt idx="1">
                  <c:v>3.3009727966831826E-3</c:v>
                </c:pt>
                <c:pt idx="2">
                  <c:v>3.1924199181463538E-3</c:v>
                </c:pt>
                <c:pt idx="3">
                  <c:v>3.0935616794327651E-3</c:v>
                </c:pt>
                <c:pt idx="4">
                  <c:v>3.0012995627106539E-3</c:v>
                </c:pt>
                <c:pt idx="5">
                  <c:v>2.9137104645911337E-3</c:v>
                </c:pt>
                <c:pt idx="6">
                  <c:v>2.8312971587933014E-3</c:v>
                </c:pt>
                <c:pt idx="7">
                  <c:v>2.7531826791771289E-3</c:v>
                </c:pt>
                <c:pt idx="8">
                  <c:v>2.6790402606170368E-3</c:v>
                </c:pt>
              </c:numCache>
            </c:numRef>
          </c:xVal>
          <c:yVal>
            <c:numRef>
              <c:f>List1!$F$2:$F$10</c:f>
              <c:numCache>
                <c:formatCode>General</c:formatCode>
                <c:ptCount val="9"/>
                <c:pt idx="0">
                  <c:v>0.69253347806584997</c:v>
                </c:pt>
                <c:pt idx="1">
                  <c:v>0.93997343423919744</c:v>
                </c:pt>
                <c:pt idx="2">
                  <c:v>1.3674033874340032</c:v>
                </c:pt>
                <c:pt idx="3">
                  <c:v>1.7749729074883587</c:v>
                </c:pt>
                <c:pt idx="4">
                  <c:v>2.1540512604233282</c:v>
                </c:pt>
                <c:pt idx="5">
                  <c:v>2.5118428990621355</c:v>
                </c:pt>
                <c:pt idx="6">
                  <c:v>2.8265327726669187</c:v>
                </c:pt>
                <c:pt idx="7">
                  <c:v>3.12114945974198</c:v>
                </c:pt>
                <c:pt idx="8">
                  <c:v>3.3353197542034283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B-4E6B-8D30-928A93891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515744"/>
        <c:axId val="457517056"/>
      </c:scatterChart>
      <c:valAx>
        <c:axId val="457515744"/>
        <c:scaling>
          <c:orientation val="minMax"/>
          <c:min val="2.5000000000000005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1/T [1/K]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57517056"/>
        <c:crosses val="autoZero"/>
        <c:crossBetween val="midCat"/>
      </c:valAx>
      <c:valAx>
        <c:axId val="4575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>
                    <a:sym typeface="Symbol" panose="05050102010706020507" pitchFamily="18" charset="2"/>
                  </a:rPr>
                  <a:t>ln</a:t>
                </a:r>
                <a:r>
                  <a:rPr lang="cs-CZ" baseline="0">
                    <a:sym typeface="Symbol" panose="05050102010706020507" pitchFamily="18" charset="2"/>
                  </a:rPr>
                  <a:t> </a:t>
                </a:r>
                <a:r>
                  <a:rPr lang="cs-CZ">
                    <a:sym typeface="Symbol" panose="05050102010706020507" pitchFamily="18" charset="2"/>
                  </a:rPr>
                  <a:t> [S/m]</a:t>
                </a:r>
                <a:endParaRPr lang="cs-CZ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5751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4</xdr:row>
      <xdr:rowOff>38100</xdr:rowOff>
    </xdr:from>
    <xdr:to>
      <xdr:col>17</xdr:col>
      <xdr:colOff>200025</xdr:colOff>
      <xdr:row>25</xdr:row>
      <xdr:rowOff>19050</xdr:rowOff>
    </xdr:to>
    <xdr:graphicFrame macro="">
      <xdr:nvGraphicFramePr>
        <xdr:cNvPr id="2" name="Graf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N3" sqref="N3"/>
    </sheetView>
  </sheetViews>
  <sheetFormatPr defaultRowHeight="15" x14ac:dyDescent="0.25"/>
  <cols>
    <col min="3" max="3" width="11.42578125" customWidth="1"/>
    <col min="5" max="5" width="16.28515625" bestFit="1" customWidth="1"/>
    <col min="10" max="10" width="12.28515625" bestFit="1" customWidth="1"/>
    <col min="11" max="11" width="11.5703125" bestFit="1" customWidth="1"/>
  </cols>
  <sheetData>
    <row r="1" spans="1:13" x14ac:dyDescent="0.25">
      <c r="A1" t="s">
        <v>0</v>
      </c>
      <c r="B1" t="s">
        <v>7</v>
      </c>
      <c r="C1" t="s">
        <v>1</v>
      </c>
      <c r="D1" t="s">
        <v>2</v>
      </c>
      <c r="E1" s="1" t="s">
        <v>5</v>
      </c>
      <c r="F1" t="s">
        <v>8</v>
      </c>
      <c r="G1" t="s">
        <v>3</v>
      </c>
      <c r="H1" t="s">
        <v>4</v>
      </c>
      <c r="J1" t="s">
        <v>6</v>
      </c>
    </row>
    <row r="2" spans="1:13" x14ac:dyDescent="0.25">
      <c r="A2">
        <v>23.855</v>
      </c>
      <c r="B2">
        <f>1/C2</f>
        <v>3.3669466843992525E-3</v>
      </c>
      <c r="C2">
        <f>A2+273.15</f>
        <v>297.005</v>
      </c>
      <c r="D2">
        <v>60.72</v>
      </c>
      <c r="E2">
        <f>((500*10^(-6))/(D2*10^(-3)))*(1/(0.00152*$G$2*$H$2))</f>
        <v>1.998772971565526</v>
      </c>
      <c r="F2">
        <f>LN(E2)</f>
        <v>0.69253347806584997</v>
      </c>
      <c r="G2">
        <f>(0.7938+0.7225)/2</f>
        <v>0.75814999999999999</v>
      </c>
      <c r="H2">
        <f>3.575</f>
        <v>3.5750000000000002</v>
      </c>
      <c r="J2">
        <f>2*(8.617333262*(10^-5))*((LN(E3)-LN(E8))/((1/C8)-(1/C3)))</f>
        <v>0.69226969535011373</v>
      </c>
      <c r="L2" t="s">
        <v>9</v>
      </c>
      <c r="M2" t="s">
        <v>10</v>
      </c>
    </row>
    <row r="3" spans="1:13" x14ac:dyDescent="0.25">
      <c r="A3">
        <v>29.791</v>
      </c>
      <c r="B3">
        <f t="shared" ref="B3:B10" si="0">1/C3</f>
        <v>3.3009727966831826E-3</v>
      </c>
      <c r="C3">
        <f t="shared" ref="C3:C10" si="1">A3+273.15</f>
        <v>302.94099999999997</v>
      </c>
      <c r="D3">
        <v>47.41</v>
      </c>
      <c r="E3">
        <f>((500*10^(-6))/(D3*10^(-3)))*(1/(0.00152*$G$2*$H$2))</f>
        <v>2.5599134113785853</v>
      </c>
      <c r="F3">
        <f t="shared" ref="F3:F10" si="2">LN(E3)</f>
        <v>0.93997343423919744</v>
      </c>
      <c r="J3">
        <f>2*(8.617333262*(10^-5))*((L3-M3)/((B10)-(B2)))</f>
        <v>0.67663300773224022</v>
      </c>
      <c r="K3" s="2"/>
      <c r="L3">
        <f xml:space="preserve"> -3926*B2 + 13.916</f>
        <v>0.69736731704853483</v>
      </c>
      <c r="M3">
        <f xml:space="preserve"> -3926*B10 + 13.916</f>
        <v>3.3980879368175145</v>
      </c>
    </row>
    <row r="4" spans="1:13" x14ac:dyDescent="0.25">
      <c r="A4">
        <v>40.091999999999999</v>
      </c>
      <c r="B4">
        <f t="shared" si="0"/>
        <v>3.1924199181463538E-3</v>
      </c>
      <c r="C4">
        <f t="shared" si="1"/>
        <v>313.24199999999996</v>
      </c>
      <c r="D4">
        <v>30.92</v>
      </c>
      <c r="E4">
        <f>((500*10^(-6))/(D4*10^(-3)))*(1/(0.00152*$G$2*$H$2))</f>
        <v>3.925145369775509</v>
      </c>
      <c r="F4">
        <f t="shared" si="2"/>
        <v>1.3674033874340032</v>
      </c>
    </row>
    <row r="5" spans="1:13" x14ac:dyDescent="0.25">
      <c r="A5">
        <v>50.101999999999997</v>
      </c>
      <c r="B5">
        <f t="shared" si="0"/>
        <v>3.0935616794327651E-3</v>
      </c>
      <c r="C5">
        <f t="shared" si="1"/>
        <v>323.25199999999995</v>
      </c>
      <c r="D5">
        <v>20.57</v>
      </c>
      <c r="E5">
        <f>((500*10^(-6))/(D5*10^(-3)))*(1/(0.00152*$G$2*$H$2))</f>
        <v>5.900121285049039</v>
      </c>
      <c r="F5">
        <f t="shared" si="2"/>
        <v>1.7749729074883587</v>
      </c>
    </row>
    <row r="6" spans="1:13" x14ac:dyDescent="0.25">
      <c r="A6">
        <v>60.039000000000001</v>
      </c>
      <c r="B6">
        <f t="shared" si="0"/>
        <v>3.0012995627106539E-3</v>
      </c>
      <c r="C6">
        <f t="shared" si="1"/>
        <v>333.18899999999996</v>
      </c>
      <c r="D6">
        <v>14.08</v>
      </c>
      <c r="E6">
        <f>((500*10^(-6))/(D6*10^(-3)))*(1/(0.00152*$G$2*$H$2))</f>
        <v>8.6197084398763302</v>
      </c>
      <c r="F6">
        <f t="shared" si="2"/>
        <v>2.1540512604233282</v>
      </c>
    </row>
    <row r="7" spans="1:13" x14ac:dyDescent="0.25">
      <c r="A7">
        <v>70.055000000000007</v>
      </c>
      <c r="B7">
        <f t="shared" si="0"/>
        <v>2.9137104645911337E-3</v>
      </c>
      <c r="C7">
        <f t="shared" si="1"/>
        <v>343.20499999999998</v>
      </c>
      <c r="D7">
        <v>9.8450000000000006</v>
      </c>
      <c r="E7">
        <f>((500*10^(-6))/(D7*10^(-3)))*(1/(0.00152*$G$2*$H$2))</f>
        <v>12.327627712895756</v>
      </c>
      <c r="F7">
        <f t="shared" si="2"/>
        <v>2.5118428990621355</v>
      </c>
    </row>
    <row r="8" spans="1:13" x14ac:dyDescent="0.25">
      <c r="A8">
        <v>80.045000000000002</v>
      </c>
      <c r="B8">
        <f t="shared" si="0"/>
        <v>2.8312971587933014E-3</v>
      </c>
      <c r="C8">
        <f t="shared" si="1"/>
        <v>353.19499999999999</v>
      </c>
      <c r="D8">
        <v>7.1870000000000003</v>
      </c>
      <c r="E8">
        <f>((500*10^(-6))/(D8*10^(-3)))*(1/(0.00152*$G$2*$H$2))</f>
        <v>16.886808798310664</v>
      </c>
      <c r="F8">
        <f t="shared" si="2"/>
        <v>2.8265327726669187</v>
      </c>
    </row>
    <row r="9" spans="1:13" x14ac:dyDescent="0.25">
      <c r="A9">
        <v>90.066000000000003</v>
      </c>
      <c r="B9">
        <f t="shared" si="0"/>
        <v>2.7531826791771289E-3</v>
      </c>
      <c r="C9">
        <f t="shared" si="1"/>
        <v>363.21600000000001</v>
      </c>
      <c r="D9">
        <v>5.3529999999999998</v>
      </c>
      <c r="E9">
        <f>((500*10^(-6))/(D9*10^(-3)))*(1/(0.00152*$G$2*$H$2))</f>
        <v>22.672425711462495</v>
      </c>
      <c r="F9">
        <f t="shared" si="2"/>
        <v>3.12114945974198</v>
      </c>
    </row>
    <row r="10" spans="1:13" x14ac:dyDescent="0.25">
      <c r="A10">
        <v>100.11799999999999</v>
      </c>
      <c r="B10">
        <f t="shared" si="0"/>
        <v>2.6790402606170368E-3</v>
      </c>
      <c r="C10">
        <f t="shared" si="1"/>
        <v>373.26799999999997</v>
      </c>
      <c r="D10">
        <v>4.3209999999999997</v>
      </c>
      <c r="E10">
        <f>((500*10^(-6))/(D10*10^(-3)))*(1/(0.00152*$G$2*$H$2))</f>
        <v>28.087362840420909</v>
      </c>
      <c r="F10">
        <f t="shared" si="2"/>
        <v>3.3353197542034283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2026-10-13T11:09:43Z</dcterms:created>
  <dcterms:modified xsi:type="dcterms:W3CDTF">2026-10-13T12:21:13Z</dcterms:modified>
</cp:coreProperties>
</file>
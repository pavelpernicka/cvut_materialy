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baeaff11c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1" sheetId="1" r:id="R7f8976369b034fb9"/>
  </x:sheets>
</x:workbook>
</file>

<file path=xl/sharedStrings.xml><?xml version="1.0" encoding="utf-8"?>
<x:sst xmlns:x="http://schemas.openxmlformats.org/spreadsheetml/2006/main">
  <x:si>
    <x:t xml:space="preserve">Stanovení dotačních profilů při difůzi z plynné fáze</x:t>
  </x:si>
  <x:si>
    <x:t xml:space="preserve">Vybrané prvky: As (donor), B (akceptor)</x:t>
  </x:si>
  <x:si>
    <x:t xml:space="preserve">konstanty</x:t>
  </x:si>
  <x:si>
    <x:t xml:space="preserve">k_b</x:t>
  </x:si>
  <x:si>
    <x:t xml:space="preserve">Teplotní závislost difúzního koeficientu</x:t>
  </x:si>
  <x:si>
    <x:t xml:space="preserve">t [degC]</x:t>
  </x:si>
  <x:si>
    <x:t xml:space="preserve">T[K]</x:t>
  </x:si>
  <x:si>
    <x:t xml:space="preserve">D_As [cm2/s]</x:t>
  </x:si>
  <x:si>
    <x:t xml:space="preserve">D_B  [cm2/s]</x:t>
  </x:si>
  <x:si>
    <x:t xml:space="preserve">Koncentrace arsenu v různých hloubkách</x:t>
  </x:si>
  <x:si>
    <x:t xml:space="preserve">D_As(1108degC)=</x:t>
  </x:si>
  <x:si>
    <x:t xml:space="preserve">[cm2/s]</x:t>
  </x:si>
  <x:si>
    <x:t xml:space="preserve">t=</x:t>
  </x:si>
  <x:si>
    <x:t xml:space="preserve">[s]</x:t>
  </x:si>
  <x:si>
    <x:t xml:space="preserve">C_s=</x:t>
  </x:si>
  <x:si>
    <x:t xml:space="preserve">[cm-3]</x:t>
  </x:si>
  <x:si>
    <x:t xml:space="preserve">x [um]</x:t>
  </x:si>
  <x:si>
    <x:t xml:space="preserve">x [cm]</x:t>
  </x:si>
  <x:si>
    <x:t xml:space="preserve">C(x) [cm-3]</x:t>
  </x:si>
  <x:si>
    <x:t xml:space="preserve">simulace</x:t>
  </x:si>
  <x:si>
    <x:t xml:space="preserve">Počet atomů arsenu v difůzní vrstvě</x:t>
  </x:si>
  <x:si>
    <x:t xml:space="preserve">Q(t)=</x:t>
  </x:si>
  <x:si>
    <x:t xml:space="preserve">[cm-2]</x:t>
  </x:si>
  <x:si>
    <x:t xml:space="preserve">Část B</x:t>
  </x:si>
  <x:si>
    <x:t xml:space="preserve">projektovaná hloubka a rozptyl B do Si</x:t>
  </x:si>
  <x:si>
    <x:t xml:space="preserve">e=</x:t>
  </x:si>
  <x:si>
    <x:t xml:space="preserve">[eV]</x:t>
  </x:si>
  <x:si>
    <x:t xml:space="preserve">R_p(e)=</x:t>
  </x:si>
  <x:si>
    <x:t xml:space="preserve">[cm]</x:t>
  </x:si>
  <x:si>
    <x:t xml:space="preserve">Z grafu</x:t>
  </x:si>
  <x:si>
    <x:t xml:space="preserve">sigma_p(e)=</x:t>
  </x:si>
  <x:si>
    <x:t xml:space="preserve">S=</x:t>
  </x:si>
  <x:si>
    <x:t xml:space="preserve">[iont/cm2]</x:t>
  </x:si>
  <x:si>
    <x:t xml:space="preserve">celková dávka</x:t>
  </x:si>
  <x:si>
    <x:t xml:space="preserve">koncentrace boru v hloubkách</x:t>
  </x:si>
  <x:si>
    <x:t xml:space="preserve">n(x) [cm-3]</x:t>
  </x:si>
  <x:si>
    <x:t xml:space="preserve">potřebný počet iontů + proud</x:t>
  </x:si>
  <x:si>
    <x:t xml:space="preserve">d=</x:t>
  </x:si>
  <x:si>
    <x:t xml:space="preserve">[mm]</x:t>
  </x:si>
  <x:si>
    <x:t xml:space="preserve">r=</x:t>
  </x:si>
  <x:si>
    <x:t xml:space="preserve">[cm2]</x:t>
  </x:si>
  <x:si>
    <x:t xml:space="preserve">N=</x:t>
  </x:si>
  <x:si>
    <x:t xml:space="preserve">[-]</x:t>
  </x:si>
  <x:si>
    <x:t xml:space="preserve">[C]</x:t>
  </x:si>
  <x:si>
    <x:t xml:space="preserve">Q=</x:t>
  </x:si>
  <x:si>
    <x:t xml:space="preserve">I=</x:t>
  </x:si>
  <x:si>
    <x:t xml:space="preserve">[A]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</x:si>
</x:sst>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4"/>
      <x:color theme="1"/>
      <x:name val="Aptos Narrow"/>
    </x:font>
    <x:font>
      <x:b/>
      <x:sz val="11"/>
      <x:color theme="1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5" tint="0.39998"/>
      </x:patternFill>
    </x:fill>
    <x:fill>
      <x:patternFill patternType="solid">
        <x:fgColor theme="9" tint="0.59999"/>
      </x:patternFill>
    </x:fill>
  </x:fills>
  <x:borders count="9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/>
    <x:xf numFmtId="0" fontId="0" fillId="2" borderId="0" xfId="0" applyFill="1"/>
    <x:xf numFmtId="11" fontId="0" fillId="2" borderId="0" xfId="0" applyNumberFormat="1" applyFill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0" xfId="0" applyBorder="1"/>
    <x:xf numFmtId="11" fontId="0" fillId="0" borderId="0" xfId="0" applyNumberFormat="1" applyBorder="1"/>
    <x:xf numFmtId="0" fontId="0" fillId="0" borderId="5" xfId="0" applyBorder="1"/>
    <x:xf numFmtId="0" fontId="0" fillId="0" borderId="7" xfId="0" applyBorder="1"/>
    <x:xf numFmtId="0" fontId="0" fillId="0" borderId="8" xfId="0" applyBorder="1"/>
    <x:xf numFmtId="0" fontId="0" fillId="0" borderId="6" xfId="0" applyBorder="1"/>
    <x:xf numFmtId="11" fontId="0" fillId="2" borderId="0" xfId="0" applyNumberFormat="1" applyFill="1" applyBorder="1"/>
    <x:xf numFmtId="0" fontId="0" fillId="2" borderId="0" xfId="0" applyFill="1" applyBorder="1"/>
    <x:xf numFmtId="0" fontId="0" fillId="3" borderId="0" xfId="0" applyFill="1" applyBorder="1" applyAlignment="1">
      <x:alignment horizontal="right"/>
    </x:xf>
    <x:xf numFmtId="0" fontId="0" fillId="3" borderId="0" xfId="0" applyFill="1" applyBorder="1"/>
    <x:xf numFmtId="0" fontId="1" fillId="0" borderId="1" xfId="0" applyFont="1" applyBorder="1"/>
    <x:xf numFmtId="0" fontId="1" fillId="0" borderId="2" xfId="0" applyFont="1" applyBorder="1"/>
    <x:xf numFmtId="0" fontId="0" fillId="4" borderId="0" xfId="0" applyFill="1" applyBorder="1" applyAlignment="1">
      <x:alignment horizontal="right"/>
    </x:xf>
    <x:xf numFmtId="0" fontId="0" fillId="4" borderId="0" xfId="0" applyFill="1" applyBorder="1"/>
    <x:xf numFmtId="0" fontId="0" fillId="4" borderId="4" xfId="0" applyFill="1" applyBorder="1" applyAlignment="1">
      <x:alignment horizontal="right"/>
    </x:xf>
    <x:xf numFmtId="0" fontId="0" fillId="4" borderId="4" xfId="0" applyFill="1" applyBorder="1"/>
    <x:xf numFmtId="11" fontId="0" fillId="4" borderId="0" xfId="0" applyNumberFormat="1" applyFill="1" applyBorder="1"/>
    <x:xf numFmtId="0" fontId="0" fillId="0" borderId="0" xfId="0" applyBorder="1" applyAlignment="1">
      <x:alignment horizontal="center" vertical="center"/>
    </x:xf>
    <x:xf numFmtId="0" fontId="0" fillId="0" borderId="0" xfId="0" applyBorder="1" applyAlignment="1">
      <x:alignment horizontal="left" vertical="center"/>
    </x:xf>
    <x:xf numFmtId="11" fontId="0" fillId="0" borderId="0" xfId="0" applyNumberFormat="1"/>
    <x:xf numFmtId="0" fontId="2" fillId="0" borderId="0" xfId="0" applyFont="1" applyAlignment="1">
      <x:alignment horizontal="center"/>
    </x:xf>
    <x:xf numFmtId="0" fontId="0" fillId="0" borderId="0" xfId="0" applyAlignment="1">
      <x:alignment horizontal="left"/>
    </x:xf>
    <x:xf numFmtId="0" fontId="0" fillId="2" borderId="4" xfId="0" applyFill="1" applyBorder="1" applyAlignment="1">
      <x:alignment horizontal="right"/>
    </x:xf>
    <x:xf numFmtId="0" fontId="0" fillId="2" borderId="0" xfId="0" applyFill="1" applyBorder="1" applyAlignment="1">
      <x:alignment horizontal="right"/>
    </x:xf>
    <x:xf numFmtId="0" fontId="0" fillId="0" borderId="0" xfId="0" applyBorder="1" applyAlignment="1">
      <x:alignment horizontal="center" vertical="center"/>
    </x:xf>
    <x:xf numFmtId="0" fontId="3" fillId="0" borderId="0" xfId="0" applyFont="1"/>
    <x:xf numFmtId="0" fontId="0" fillId="0" borderId="0" xfId="0" applyAlignment="1">
      <x:alignment horizontal="right"/>
    </x:xf>
    <x:xf numFmtId="0" fontId="0" fillId="2" borderId="0" xfId="0" applyFill="1" applyAlignment="1">
      <x:alignment horizontal="right"/>
    </x:xf>
    <x:xf numFmtId="0" fontId="0" fillId="0" borderId="0" xfId="0" applyFill="1" applyBorder="1"/>
  </x:cellXfs>
  <x:cellStyles count="1">
    <x:cellStyle name="Normální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7f096bfac445b" /><Relationship Type="http://schemas.openxmlformats.org/officeDocument/2006/relationships/theme" Target="/xl/theme/theme1.xml" Id="R6f72630e02e34d3f" /><Relationship Type="http://schemas.openxmlformats.org/officeDocument/2006/relationships/sharedStrings" Target="/xl/sharedStrings.xml" Id="R4f70d6e5e03f4cc5" /><Relationship Type="http://schemas.openxmlformats.org/officeDocument/2006/relationships/worksheet" Target="/xl/worksheets/sheet1.xml" Id="R7f8976369b034f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35388ad7882445d" /><Relationship Type="http://schemas.openxmlformats.org/officeDocument/2006/relationships/chart" Target="/xl/drawings/charts/chart1.xml" Id="R9243140a604f4542" /><Relationship Type="http://schemas.openxmlformats.org/officeDocument/2006/relationships/chart" Target="/xl/drawings/charts/chart2.xml" Id="R2eb2e4835bd34711" /><Relationship Type="http://schemas.openxmlformats.org/officeDocument/2006/relationships/chart" Target="/xl/drawings/charts/chart3.xml" Id="R689f1e38ad1041ad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List1!$A$11:$A$21</c:f>
              <c:numCache>
                <c:formatCode>General</c:formatCode>
                <c:ptCount val="11"/>
                <c:pt idx="0">
                  <c:v>800</c:v>
                </c:pt>
                <c:pt idx="1">
                  <c:v>840</c:v>
                </c:pt>
                <c:pt idx="2">
                  <c:v>880</c:v>
                </c:pt>
                <c:pt idx="3">
                  <c:v>920</c:v>
                </c:pt>
                <c:pt idx="4">
                  <c:v>960</c:v>
                </c:pt>
                <c:pt idx="5">
                  <c:v>1000</c:v>
                </c:pt>
                <c:pt idx="6">
                  <c:v>1040</c:v>
                </c:pt>
                <c:pt idx="7">
                  <c:v>1080</c:v>
                </c:pt>
                <c:pt idx="8">
                  <c:v>1120</c:v>
                </c:pt>
                <c:pt idx="9">
                  <c:v>1160</c:v>
                </c:pt>
                <c:pt idx="10">
                  <c:v>1200</c:v>
                </c:pt>
              </c:numCache>
            </c:numRef>
          </c:xVal>
          <c:yVal>
            <c:numRef>
              <c:f>List1!$C$11:$C$21</c:f>
              <c:numCache>
                <c:formatCode>0.00E+00</c:formatCode>
                <c:ptCount val="11"/>
                <c:pt idx="0">
                  <c:v>1.274148483333521E-18</c:v>
                </c:pt>
                <c:pt idx="1">
                  <c:v>6.267820743150574E-18</c:v>
                </c:pt>
                <c:pt idx="2">
                  <c:v>2.76065820543111E-17</c:v>
                </c:pt>
                <c:pt idx="3">
                  <c:v>1.1008695605741717E-16</c:v>
                </c:pt>
                <c:pt idx="4">
                  <c:v>4.0131691294493357E-16</c:v>
                </c:pt>
                <c:pt idx="5">
                  <c:v>1.3487786592057315E-15</c:v>
                </c:pt>
                <c:pt idx="6">
                  <c:v>4.210379233201976E-15</c:v>
                </c:pt>
                <c:pt idx="7">
                  <c:v>1.2287776962661746E-14</c:v>
                </c:pt>
                <c:pt idx="8">
                  <c:v>3.372210002240456E-14</c:v>
                </c:pt>
                <c:pt idx="9">
                  <c:v>8.74745329351837E-14</c:v>
                </c:pt>
                <c:pt idx="10">
                  <c:v>2.154606708570945E-13</c:v>
                </c:pt>
              </c:numCache>
            </c:numRef>
          </c:yVal>
        </c:ser>
        <c:ser>
          <c:idx val="1"/>
          <c:order val="1"/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List1!$A$11:$A$21</c:f>
              <c:numCache>
                <c:formatCode>General</c:formatCode>
                <c:ptCount val="11"/>
                <c:pt idx="0">
                  <c:v>800</c:v>
                </c:pt>
                <c:pt idx="1">
                  <c:v>840</c:v>
                </c:pt>
                <c:pt idx="2">
                  <c:v>880</c:v>
                </c:pt>
                <c:pt idx="3">
                  <c:v>920</c:v>
                </c:pt>
                <c:pt idx="4">
                  <c:v>960</c:v>
                </c:pt>
                <c:pt idx="5">
                  <c:v>1000</c:v>
                </c:pt>
                <c:pt idx="6">
                  <c:v>1040</c:v>
                </c:pt>
                <c:pt idx="7">
                  <c:v>1080</c:v>
                </c:pt>
                <c:pt idx="8">
                  <c:v>1120</c:v>
                </c:pt>
                <c:pt idx="9">
                  <c:v>1160</c:v>
                </c:pt>
                <c:pt idx="10">
                  <c:v>1200</c:v>
                </c:pt>
              </c:numCache>
            </c:numRef>
          </c:xVal>
          <c:yVal>
            <c:numRef>
              <c:f>List1!$D$11:$D$21</c:f>
              <c:numCache>
                <c:formatCode>0.00E+00</c:formatCode>
                <c:ptCount val="11"/>
                <c:pt idx="0">
                  <c:v>4.2834791704350464E-17</c:v>
                </c:pt>
                <c:pt idx="1">
                  <c:v>1.643197725075014E-16</c:v>
                </c:pt>
                <c:pt idx="2">
                  <c:v>5.742160025745169E-16</c:v>
                </c:pt>
                <c:pt idx="3">
                  <c:v>1.8451304867109584E-15</c:v>
                </c:pt>
                <c:pt idx="4">
                  <c:v>5.496555651859539E-15</c:v>
                </c:pt>
                <c:pt idx="5">
                  <c:v>1.5288532062309314E-14</c:v>
                </c:pt>
                <c:pt idx="6">
                  <c:v>3.995533007124934E-14</c:v>
                </c:pt>
                <c:pt idx="7">
                  <c:v>9.865468597771848E-14</c:v>
                </c:pt>
                <c:pt idx="8">
                  <c:v>2.3127005014695816E-13</c:v>
                </c:pt>
                <c:pt idx="9">
                  <c:v>5.169721795026781E-13</c:v>
                </c:pt>
                <c:pt idx="10">
                  <c:v>1.1062250268208269E-12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293424"/>
        <c:axId val="1907292464"/>
      </c:scatterChart>
      <c:valAx>
        <c:axId val="1907292464"/>
        <c:scaling>
          <c:logBase val="10"/>
          <c:orientation val="minMax"/>
          <c:min val="1.0000000000000011E-20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E+00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07293424"/>
        <c:crosses val="autoZero"/>
        <c:crossBetween val="midCat"/>
      </c:valAx>
      <c:valAx>
        <c:axId val="1907293424"/>
        <c:scaling>
          <c:orientation val="minMax"/>
          <c:min val="800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07292464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List1!$A$33:$A$53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List1!$C$33:$C$53</c:f>
              <c:numCache>
                <c:formatCode>0.00E+00</c:formatCode>
                <c:ptCount val="21"/>
                <c:pt idx="0">
                  <c:v>1E+17</c:v>
                </c:pt>
                <c:pt idx="1">
                  <c:v>66735385759345860</c:v>
                </c:pt>
                <c:pt idx="2">
                  <c:v>39002886550966340</c:v>
                </c:pt>
                <c:pt idx="3">
                  <c:v>19727729520222496</c:v>
                </c:pt>
                <c:pt idx="4">
                  <c:v>8559069687084096</c:v>
                </c:pt>
                <c:pt idx="5">
                  <c:v>3164133325484102.5</c:v>
                </c:pt>
                <c:pt idx="6">
                  <c:v>991742924595504.6</c:v>
                </c:pt>
                <c:pt idx="7">
                  <c:v>262560189855837.12</c:v>
                </c:pt>
                <c:pt idx="8">
                  <c:v>58546511049654.484</c:v>
                </c:pt>
                <c:pt idx="9">
                  <c:v>10971251044283.973</c:v>
                </c:pt>
                <c:pt idx="10">
                  <c:v>1724821837935.3298</c:v>
                </c:pt>
                <c:pt idx="11">
                  <c:v>227180685037.09998</c:v>
                </c:pt>
                <c:pt idx="12">
                  <c:v>25041573038.950207</c:v>
                </c:pt>
                <c:pt idx="13">
                  <c:v>2307962944.853899</c:v>
                </c:pt>
                <c:pt idx="14">
                  <c:v>177728325.8921395</c:v>
                </c:pt>
                <c:pt idx="15">
                  <c:v>11428337.16580247</c:v>
                </c:pt>
                <c:pt idx="16">
                  <c:v>613322.6739331655</c:v>
                </c:pt>
                <c:pt idx="17">
                  <c:v>27459.330990170285</c:v>
                </c:pt>
                <c:pt idx="18">
                  <c:v>1025.2480294714167</c:v>
                </c:pt>
                <c:pt idx="19">
                  <c:v>31.913297075951448</c:v>
                </c:pt>
                <c:pt idx="20">
                  <c:v>0.8279466810170221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7952"/>
        <c:axId val="49839392"/>
      </c:scatterChart>
      <c:valAx>
        <c:axId val="49839392"/>
        <c:scaling>
          <c:logBase val="10"/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E+00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9837952"/>
        <c:crosses val="autoZero"/>
        <c:crossBetween val="midCat"/>
      </c:valAx>
      <c:valAx>
        <c:axId val="4983795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9839392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List1!$A$71:$A$91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List1!$D$71:$D$91</c:f>
              <c:numCache>
                <c:formatCode>0.00E+00</c:formatCode>
                <c:ptCount val="21"/>
                <c:pt idx="0">
                  <c:v>-7.693163719812254E+26</c:v>
                </c:pt>
                <c:pt idx="1">
                  <c:v>-7.693163717703091E+26</c:v>
                </c:pt>
                <c:pt idx="2">
                  <c:v>-7.69316371597741E+26</c:v>
                </c:pt>
                <c:pt idx="3">
                  <c:v>-7.693163714635215E+26</c:v>
                </c:pt>
                <c:pt idx="4">
                  <c:v>-7.693163713676505E+26</c:v>
                </c:pt>
                <c:pt idx="5">
                  <c:v>-7.693163713101277E+26</c:v>
                </c:pt>
                <c:pt idx="6">
                  <c:v>-7.693163712909535E+26</c:v>
                </c:pt>
                <c:pt idx="7">
                  <c:v>-7.693163713101277E+26</c:v>
                </c:pt>
                <c:pt idx="8">
                  <c:v>-7.693163713676505E+26</c:v>
                </c:pt>
                <c:pt idx="9">
                  <c:v>-7.693163714635215E+26</c:v>
                </c:pt>
                <c:pt idx="10">
                  <c:v>-7.69316371597741E+26</c:v>
                </c:pt>
                <c:pt idx="11">
                  <c:v>-7.693163717703091E+26</c:v>
                </c:pt>
                <c:pt idx="12">
                  <c:v>-7.693163719812254E+26</c:v>
                </c:pt>
                <c:pt idx="13">
                  <c:v>-7.693163722304904E+26</c:v>
                </c:pt>
                <c:pt idx="14">
                  <c:v>-7.693163725181036E+26</c:v>
                </c:pt>
                <c:pt idx="15">
                  <c:v>-7.693163728440655E+26</c:v>
                </c:pt>
                <c:pt idx="16">
                  <c:v>-7.693163732083758E+26</c:v>
                </c:pt>
                <c:pt idx="17">
                  <c:v>-7.693163736110344E+26</c:v>
                </c:pt>
                <c:pt idx="18">
                  <c:v>-7.693163740520415E+26</c:v>
                </c:pt>
                <c:pt idx="19">
                  <c:v>-7.693163745313971E+26</c:v>
                </c:pt>
                <c:pt idx="20">
                  <c:v>-7.693163750491012E+26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993664"/>
        <c:axId val="1355986464"/>
      </c:scatterChart>
      <c:valAx>
        <c:axId val="135598646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E+00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55993664"/>
        <c:crosses val="autoZero"/>
        <c:crossBetween val="midCat"/>
      </c:valAx>
      <c:valAx>
        <c:axId val="1355993664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55986464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66674</xdr:colOff>
      <xdr:row>8</xdr:row>
      <xdr:rowOff>171449</xdr:rowOff>
    </xdr:from>
    <xdr:to>
      <xdr:col>12</xdr:col>
      <xdr:colOff>309561</xdr:colOff>
      <xdr:row>25</xdr:row>
      <xdr:rowOff>190499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43140a604f4542"/>
        </a:graphicData>
      </a:graphic>
    </xdr:graphicFrame>
    <xdr:clientData/>
  </xdr:twoCellAnchor>
  <xdr:twoCellAnchor>
    <xdr:from>
      <xdr:col>4</xdr:col>
      <xdr:colOff>242887</xdr:colOff>
      <xdr:row>34</xdr:row>
      <xdr:rowOff>85725</xdr:rowOff>
    </xdr:from>
    <xdr:to>
      <xdr:col>11</xdr:col>
      <xdr:colOff>14287</xdr:colOff>
      <xdr:row>49</xdr:row>
      <xdr:rowOff>114300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b2e4835bd34711"/>
        </a:graphicData>
      </a:graphic>
    </xdr:graphicFrame>
    <xdr:clientData/>
  </xdr:twoCellAnchor>
  <xdr:twoCellAnchor>
    <xdr:from>
      <xdr:col>4</xdr:col>
      <xdr:colOff>657225</xdr:colOff>
      <xdr:row>72</xdr:row>
      <xdr:rowOff>90487</xdr:rowOff>
    </xdr:from>
    <xdr:to>
      <xdr:col>12</xdr:col>
      <xdr:colOff>276225</xdr:colOff>
      <xdr:row>86</xdr:row>
      <xdr:rowOff>157162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9f1e38ad1041ad"/>
        </a:graphicData>
      </a:graphic>
    </xdr:graphicFrame>
    <xdr:clientData/>
  </xdr:twoCellAnchor>
  <xdr:twoCellAnchor editAs="oneCell">
    <xdr:from>
      <xdr:col>14</xdr:col>
      <xdr:colOff>97797</xdr:colOff>
      <xdr:row>30</xdr:row>
      <xdr:rowOff>99834</xdr:rowOff>
    </xdr:from>
    <xdr:to>
      <xdr:col>24</xdr:col>
      <xdr:colOff>138545</xdr:colOff>
      <xdr:row>50</xdr:row>
      <xdr:rowOff>81076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388ad788244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453a5bf2d24823" /></Relationships>
</file>

<file path=xl/worksheets/sheet1.xml><?xml version="1.0" encoding="utf-8"?>
<x:worksheet xmlns:x="http://schemas.openxmlformats.org/spreadsheetml/2006/main">
  <x:sheetFormatPr defaultRowHeight="14.25"/>
  <x:cols>
    <x:col min="2" max="2" width="14.125" customWidth="1"/>
    <x:col min="4" max="4" width="9.375" customWidth="1"/>
  </x:cols>
  <x:sheetData>
    <x:row r="1" ht="18">
      <x:c r="A1" s="27" t="s">
        <x:v>0</x:v>
      </x:c>
      <x:c r="B1" s="27"/>
      <x:c r="C1" s="27"/>
      <x:c r="D1" s="27"/>
      <x:c r="E1" s="27"/>
      <x:c r="F1" s="27"/>
      <x:c r="G1" s="27"/>
      <x:c r="H1" s="27"/>
    </x:row>
    <x:row r="3">
      <x:c r="A3" s="28" t="s">
        <x:v>1</x:v>
      </x:c>
      <x:c r="B3" s="28"/>
      <x:c r="C3" s="28"/>
      <x:c r="D3" s="28"/>
      <x:c r="E3" s="28"/>
      <x:c r="F3" s="28"/>
      <x:c r="G3" s="28"/>
    </x:row>
    <x:row r="5" ht="15">
      <x:c r="A5" s="1" t="s">
        <x:v>2</x:v>
      </x:c>
      <x:c r="B5" s="1"/>
    </x:row>
    <x:row r="6">
      <x:c r="A6" s="2" t="s">
        <x:v>3</x:v>
      </x:c>
      <x:c r="B6" s="2"/>
      <x:c r="C6" s="3">
        <x:v>8.6173332620000001E-5</x:v>
      </x:c>
    </x:row>
    <x:row r="8" ht="15">
      <x:c r="A8" s="10"/>
      <x:c r="B8" s="10"/>
      <x:c r="C8" s="10"/>
      <x:c r="D8" s="10"/>
    </x:row>
    <x:row r="9" ht="15">
      <x:c r="A9" s="1" t="s">
        <x:v>4</x:v>
      </x:c>
      <x:c r="B9" s="1"/>
      <x:c r="C9" s="1"/>
      <x:c r="E9" s="4"/>
      <x:c r="F9" s="4"/>
      <x:c r="G9" s="4"/>
      <x:c r="H9" s="4"/>
      <x:c r="I9" s="4"/>
      <x:c r="J9" s="4"/>
      <x:c r="K9" s="4"/>
      <x:c r="L9" s="4"/>
      <x:c r="M9" s="5"/>
    </x:row>
    <x:row r="10">
      <x:c r="A10" s="7" t="s">
        <x:v>5</x:v>
      </x:c>
      <x:c r="B10" s="7" t="s">
        <x:v>6</x:v>
      </x:c>
      <x:c r="C10" s="7" t="s">
        <x:v>7</x:v>
      </x:c>
      <x:c r="D10" s="7" t="s">
        <x:v>8</x:v>
      </x:c>
      <x:c r="E10" s="7"/>
      <x:c r="F10" s="7"/>
      <x:c r="G10" s="7"/>
      <x:c r="H10" s="7"/>
      <x:c r="I10" s="7"/>
      <x:c r="J10" s="7"/>
      <x:c r="K10" s="7"/>
      <x:c r="L10" s="7"/>
      <x:c r="M10" s="9"/>
    </x:row>
    <x:row r="11">
      <x:c r="A11" s="6">
        <x:v>800</x:v>
      </x:c>
      <x:c r="B11" s="7" t="n">
        <x:f>A11+273.15</x:f>
        <x:v>1073.15</x:v>
      </x:c>
      <x:c r="C11" s="8" t="n">
        <x:f>22.9*EXP((-4.1)/($C$6*B11))</x:f>
        <x:v>1.274148483333521e-18</x:v>
      </x:c>
      <x:c r="D11" s="8" t="n">
        <x:f>0.76*EXP((-3.46)/($C$6*B11))</x:f>
        <x:v>4.2834791704350464e-17</x:v>
      </x:c>
      <x:c r="E11" s="7"/>
      <x:c r="F11" s="7"/>
      <x:c r="G11" s="7"/>
      <x:c r="H11" s="7"/>
      <x:c r="I11" s="7"/>
      <x:c r="J11" s="7"/>
      <x:c r="K11" s="7"/>
      <x:c r="L11" s="7"/>
      <x:c r="M11" s="9"/>
    </x:row>
    <x:row r="12">
      <x:c r="A12" s="6">
        <x:v>840</x:v>
      </x:c>
      <x:c r="B12" s="7" t="n">
        <x:f t="shared" ref="B12:B21" si="0">A12+273.15</x:f>
        <x:v>1113.15</x:v>
      </x:c>
      <x:c r="C12" s="8" t="n">
        <x:f t="shared" ref="C12:C21" si="1">22.9*EXP((-4.1)/($C$6*B12))</x:f>
        <x:v>6.267820743150574e-18</x:v>
      </x:c>
      <x:c r="D12" s="8" t="n">
        <x:f t="shared" ref="D12:D21" si="2">0.76*EXP((-3.46)/($C$6*B12))</x:f>
        <x:v>1.643197725075014e-16</x:v>
      </x:c>
      <x:c r="E12" s="7"/>
      <x:c r="F12" s="7"/>
      <x:c r="G12" s="7"/>
      <x:c r="H12" s="7"/>
      <x:c r="I12" s="7"/>
      <x:c r="J12" s="7"/>
      <x:c r="K12" s="7"/>
      <x:c r="L12" s="7"/>
      <x:c r="M12" s="9"/>
    </x:row>
    <x:row r="13">
      <x:c r="A13" s="6">
        <x:v>880</x:v>
      </x:c>
      <x:c r="B13" s="7">
        <x:f t="shared" si="0"/>
        <x:v>1153.1500000000001</x:v>
      </x:c>
      <x:c r="C13" s="8">
        <x:f t="shared" si="1"/>
        <x:v>2.76065820543111E-17</x:v>
      </x:c>
      <x:c r="D13" s="8">
        <x:f t="shared" si="2"/>
        <x:v>5.7421600257451691E-16</x:v>
      </x:c>
      <x:c r="E13" s="7"/>
      <x:c r="F13" s="7"/>
      <x:c r="G13" s="7"/>
      <x:c r="H13" s="7"/>
      <x:c r="I13" s="7"/>
      <x:c r="J13" s="7"/>
      <x:c r="K13" s="7"/>
      <x:c r="L13" s="7"/>
      <x:c r="M13" s="9"/>
    </x:row>
    <x:row r="14">
      <x:c r="A14" s="6">
        <x:v>920</x:v>
      </x:c>
      <x:c r="B14" s="7">
        <x:f t="shared" si="0"/>
        <x:v>1193.1500000000001</x:v>
      </x:c>
      <x:c r="C14" s="8">
        <x:f t="shared" si="1"/>
        <x:v>1.1008695605741717E-16</x:v>
      </x:c>
      <x:c r="D14" s="8">
        <x:f t="shared" si="2"/>
        <x:v>1.8451304867109584E-15</x:v>
      </x:c>
      <x:c r="E14" s="7"/>
      <x:c r="F14" s="7"/>
      <x:c r="G14" s="7"/>
      <x:c r="H14" s="7"/>
      <x:c r="I14" s="7"/>
      <x:c r="J14" s="7"/>
      <x:c r="K14" s="7"/>
      <x:c r="L14" s="7"/>
      <x:c r="M14" s="9"/>
    </x:row>
    <x:row r="15">
      <x:c r="A15" s="6">
        <x:v>960</x:v>
      </x:c>
      <x:c r="B15" s="7">
        <x:f t="shared" si="0"/>
        <x:v>1233.1500000000001</x:v>
      </x:c>
      <x:c r="C15" s="8">
        <x:f t="shared" si="1"/>
        <x:v>4.0131691294493357E-16</x:v>
      </x:c>
      <x:c r="D15" s="8">
        <x:f t="shared" si="2"/>
        <x:v>5.4965556518595387E-15</x:v>
      </x:c>
      <x:c r="E15" s="7"/>
      <x:c r="F15" s="7"/>
      <x:c r="G15" s="7"/>
      <x:c r="H15" s="7"/>
      <x:c r="I15" s="7"/>
      <x:c r="J15" s="7"/>
      <x:c r="K15" s="7"/>
      <x:c r="L15" s="7"/>
      <x:c r="M15" s="9"/>
    </x:row>
    <x:row r="16">
      <x:c r="A16" s="6">
        <x:v>1000</x:v>
      </x:c>
      <x:c r="B16" s="7">
        <x:f t="shared" si="0"/>
        <x:v>1273.1500000000001</x:v>
      </x:c>
      <x:c r="C16" s="8">
        <x:f t="shared" si="1"/>
        <x:v>1.3487786592057315E-15</x:v>
      </x:c>
      <x:c r="D16" s="8">
        <x:f t="shared" si="2"/>
        <x:v>1.5288532062309314E-14</x:v>
      </x:c>
      <x:c r="E16" s="7"/>
      <x:c r="F16" s="7"/>
      <x:c r="G16" s="7"/>
      <x:c r="H16" s="7"/>
      <x:c r="I16" s="7"/>
      <x:c r="J16" s="7"/>
      <x:c r="K16" s="7"/>
      <x:c r="L16" s="7"/>
      <x:c r="M16" s="9"/>
    </x:row>
    <x:row r="17">
      <x:c r="A17" s="6">
        <x:v>1040</x:v>
      </x:c>
      <x:c r="B17" s="7">
        <x:f t="shared" si="0"/>
        <x:v>1313.15</x:v>
      </x:c>
      <x:c r="C17" s="8">
        <x:f t="shared" si="1"/>
        <x:v>4.2103792332019759E-15</x:v>
      </x:c>
      <x:c r="D17" s="8">
        <x:f t="shared" si="2"/>
        <x:v>3.9955330071249339E-14</x:v>
      </x:c>
      <x:c r="E17" s="7"/>
      <x:c r="F17" s="7"/>
      <x:c r="G17" s="7"/>
      <x:c r="H17" s="7"/>
      <x:c r="I17" s="7"/>
      <x:c r="J17" s="7"/>
      <x:c r="K17" s="7"/>
      <x:c r="L17" s="7"/>
      <x:c r="M17" s="9"/>
    </x:row>
    <x:row r="18">
      <x:c r="A18" s="6">
        <x:v>1080</x:v>
      </x:c>
      <x:c r="B18" s="7">
        <x:f t="shared" si="0"/>
        <x:v>1353.15</x:v>
      </x:c>
      <x:c r="C18" s="8">
        <x:f t="shared" si="1"/>
        <x:v>1.2287776962661746E-14</x:v>
      </x:c>
      <x:c r="D18" s="8">
        <x:f t="shared" si="2"/>
        <x:v>9.8654685977718482E-14</x:v>
      </x:c>
      <x:c r="E18" s="7"/>
      <x:c r="F18" s="7"/>
      <x:c r="G18" s="7"/>
      <x:c r="H18" s="7"/>
      <x:c r="I18" s="7"/>
      <x:c r="J18" s="7"/>
      <x:c r="K18" s="7"/>
      <x:c r="L18" s="7"/>
      <x:c r="M18" s="9"/>
    </x:row>
    <x:row r="19">
      <x:c r="A19" s="6">
        <x:v>1120</x:v>
      </x:c>
      <x:c r="B19" s="7">
        <x:f t="shared" si="0"/>
        <x:v>1393.15</x:v>
      </x:c>
      <x:c r="C19" s="8">
        <x:f t="shared" si="1"/>
        <x:v>3.372210002240456E-14</x:v>
      </x:c>
      <x:c r="D19" s="8">
        <x:f t="shared" si="2"/>
        <x:v>2.3127005014695816E-13</x:v>
      </x:c>
      <x:c r="E19" s="7"/>
      <x:c r="F19" s="7"/>
      <x:c r="G19" s="7"/>
      <x:c r="H19" s="7"/>
      <x:c r="I19" s="7"/>
      <x:c r="J19" s="7"/>
      <x:c r="K19" s="7"/>
      <x:c r="L19" s="7"/>
      <x:c r="M19" s="9"/>
    </x:row>
    <x:row r="20">
      <x:c r="A20" s="6">
        <x:v>1160</x:v>
      </x:c>
      <x:c r="B20" s="7">
        <x:f t="shared" si="0"/>
        <x:v>1433.15</x:v>
      </x:c>
      <x:c r="C20" s="8">
        <x:f t="shared" si="1"/>
        <x:v>8.7474532935183695E-14</x:v>
      </x:c>
      <x:c r="D20" s="8">
        <x:f t="shared" si="2"/>
        <x:v>5.1697217950267811E-13</x:v>
      </x:c>
      <x:c r="E20" s="7"/>
      <x:c r="F20" s="7"/>
      <x:c r="G20" s="7"/>
      <x:c r="H20" s="7"/>
      <x:c r="I20" s="7"/>
      <x:c r="J20" s="7"/>
      <x:c r="K20" s="7"/>
      <x:c r="L20" s="7"/>
      <x:c r="M20" s="9"/>
    </x:row>
    <x:row r="21">
      <x:c r="A21" s="6">
        <x:v>1200</x:v>
      </x:c>
      <x:c r="B21" s="7">
        <x:f t="shared" si="0"/>
        <x:v>1473.15</x:v>
      </x:c>
      <x:c r="C21" s="8">
        <x:f t="shared" si="1"/>
        <x:v>2.1546067085709451E-13</x:v>
      </x:c>
      <x:c r="D21" s="8">
        <x:f t="shared" si="2"/>
        <x:v>1.1062250268208269E-12</x:v>
      </x:c>
      <x:c r="E21" s="7"/>
      <x:c r="F21" s="7"/>
      <x:c r="G21" s="7"/>
      <x:c r="H21" s="7"/>
      <x:c r="I21" s="7"/>
      <x:c r="J21" s="7"/>
      <x:c r="K21" s="7"/>
      <x:c r="L21" s="7"/>
      <x:c r="M21" s="9"/>
    </x:row>
    <x:row r="22">
      <x:c r="A22" s="6"/>
      <x:c r="B22" s="7"/>
      <x:c r="C22" s="8"/>
      <x:c r="D22" s="8"/>
      <x:c r="E22" s="7"/>
      <x:c r="F22" s="7"/>
      <x:c r="G22" s="7"/>
      <x:c r="H22" s="7"/>
      <x:c r="I22" s="7"/>
      <x:c r="J22" s="7"/>
      <x:c r="K22" s="7"/>
      <x:c r="L22" s="7"/>
      <x:c r="M22" s="9"/>
    </x:row>
    <x:row r="23">
      <x:c r="A23" s="6"/>
      <x:c r="B23" s="7"/>
      <x:c r="C23" s="8"/>
      <x:c r="D23" s="8"/>
      <x:c r="E23" s="7"/>
      <x:c r="F23" s="7"/>
      <x:c r="G23" s="7"/>
      <x:c r="H23" s="7"/>
      <x:c r="I23" s="7"/>
      <x:c r="J23" s="7"/>
      <x:c r="K23" s="7"/>
      <x:c r="L23" s="7"/>
      <x:c r="M23" s="9"/>
    </x:row>
    <x:row r="24">
      <x:c r="A24" s="6"/>
      <x:c r="B24" s="7"/>
      <x:c r="C24" s="8"/>
      <x:c r="D24" s="8"/>
      <x:c r="E24" s="7"/>
      <x:c r="F24" s="7"/>
      <x:c r="G24" s="7"/>
      <x:c r="H24" s="7"/>
      <x:c r="I24" s="7"/>
      <x:c r="J24" s="7"/>
      <x:c r="K24" s="7"/>
      <x:c r="L24" s="7"/>
      <x:c r="M24" s="9"/>
    </x:row>
    <x:row r="25">
      <x:c r="A25" s="6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9"/>
    </x:row>
    <x:row r="26">
      <x:c r="A26" s="6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9"/>
    </x:row>
    <x:row r="27" ht="15">
      <x:c r="A27" s="12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1"/>
    </x:row>
    <x:row r="28" ht="15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</x:row>
    <x:row r="29" ht="15">
      <x:c r="A29" s="17" t="s">
        <x:v>9</x:v>
      </x:c>
      <x:c r="B29" s="18"/>
      <x:c r="C29" s="18"/>
      <x:c r="D29" s="4"/>
      <x:c r="E29" s="4"/>
      <x:c r="F29" s="4"/>
      <x:c r="G29" s="4"/>
      <x:c r="H29" s="4"/>
      <x:c r="I29" s="4"/>
      <x:c r="J29" s="4"/>
      <x:c r="K29" s="4"/>
      <x:c r="L29" s="4"/>
      <x:c r="M29" s="5"/>
    </x:row>
    <x:row r="30">
      <x:c r="A30" s="29" t="s">
        <x:v>10</x:v>
      </x:c>
      <x:c r="B30" s="30"/>
      <x:c r="C30" s="13" t="n">
        <x:f>22.9*EXP((-4.1)/($C$6*(1108+273.15)))</x:f>
        <x:v>2.5063907290150573e-14</x:v>
      </x:c>
      <x:c r="D30" s="14" t="s">
        <x:v>11</x:v>
      </x:c>
      <x:c r="E30" s="15" t="s">
        <x:v>12</x:v>
      </x:c>
      <x:c r="F30" s="16">
        <x:v>2700</x:v>
      </x:c>
      <x:c r="G30" s="16" t="s">
        <x:v>13</x:v>
      </x:c>
      <x:c r="H30" s="19" t="s">
        <x:v>14</x:v>
      </x:c>
      <x:c r="I30" s="20">
        <x:v>1E+17</x:v>
      </x:c>
      <x:c r="J30" s="20" t="s">
        <x:v>15</x:v>
      </x:c>
      <x:c r="K30" s="7"/>
      <x:c r="L30" s="7"/>
      <x:c r="M30" s="9"/>
    </x:row>
    <x:row r="31">
      <x:c r="A31" s="6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9"/>
    </x:row>
    <x:row r="32">
      <x:c r="A32" s="6" t="s">
        <x:v>16</x:v>
      </x:c>
      <x:c r="B32" s="7" t="s">
        <x:v>17</x:v>
      </x:c>
      <x:c r="C32" s="7" t="s">
        <x:v>18</x:v>
      </x:c>
      <x:c r="D32" s="7"/>
      <x:c r="E32" s="7"/>
      <x:c r="F32" s="7"/>
      <x:c r="G32" s="7"/>
      <x:c r="H32" s="7"/>
      <x:c r="I32" s="7"/>
      <x:c r="J32" s="7"/>
      <x:c r="K32" s="7"/>
      <x:c r="L32" s="7"/>
      <x:c r="M32" s="9"/>
    </x:row>
    <x:row r="33">
      <x:c r="A33" s="6">
        <x:v>0</x:v>
      </x:c>
      <x:c r="B33" s="7" t="n">
        <x:f>A33*0.0001</x:f>
        <x:v>0</x:v>
      </x:c>
      <x:c r="C33" s="8" t="n">
        <x:f>($I$30)*ERFC(B33/(2*SQRT($C$30*$F$30)))</x:f>
        <x:v>99999999999999980</x:v>
      </x:c>
      <x:c r="D33" s="7"/>
      <x:c r="E33" s="7"/>
      <x:c r="F33" s="7"/>
      <x:c r="G33" s="7"/>
      <x:c r="H33" s="7"/>
      <x:c r="I33" s="7"/>
      <x:c r="J33" s="7"/>
      <x:c r="K33" s="7"/>
      <x:c r="L33" s="7"/>
      <x:c r="M33" s="9"/>
    </x:row>
    <x:row r="34">
      <x:c r="A34" s="6">
        <x:v>0.05</x:v>
      </x:c>
      <x:c r="B34" s="7" t="n">
        <x:f t="shared" ref="B34:B53" si="3">A34*0.0001</x:f>
        <x:v>0.000005</x:v>
      </x:c>
      <x:c r="C34" s="8" t="n">
        <x:f t="shared" ref="C34:C53" si="4">($I$30)*ERFC(B34/(2*SQRT($C$30*$F$30)))</x:f>
        <x:v>66735385759345860</x:v>
      </x:c>
      <x:c r="D34" s="7"/>
      <x:c r="E34" s="7"/>
      <x:c r="F34" s="7"/>
      <x:c r="G34" s="7"/>
      <x:c r="H34" s="7"/>
      <x:c r="I34" s="7"/>
      <x:c r="J34" s="7"/>
      <x:c r="K34" s="7"/>
      <x:c r="L34" s="7"/>
      <x:c r="M34" s="9"/>
    </x:row>
    <x:row r="35">
      <x:c r="A35" s="6">
        <x:v>0.1</x:v>
      </x:c>
      <x:c r="B35" s="7">
        <x:f t="shared" si="3"/>
        <x:v>1.0000000000000001E-5</x:v>
      </x:c>
      <x:c r="C35" s="8">
        <x:f t="shared" si="4"/>
        <x:v>3.9002886550966336E+16</x:v>
      </x:c>
      <x:c r="D35" s="7"/>
      <x:c r="E35" s="7"/>
      <x:c r="F35" s="7"/>
      <x:c r="G35" s="7"/>
      <x:c r="H35" s="7"/>
      <x:c r="I35" s="7"/>
      <x:c r="J35" s="7"/>
      <x:c r="K35" s="7"/>
      <x:c r="L35" s="7"/>
      <x:c r="M35" s="9"/>
    </x:row>
    <x:row r="36">
      <x:c r="A36" s="6">
        <x:v>0.15</x:v>
      </x:c>
      <x:c r="B36" s="7">
        <x:f t="shared" si="3"/>
        <x:v>1.5E-5</x:v>
      </x:c>
      <x:c r="C36" s="8">
        <x:f t="shared" si="4"/>
        <x:v>1.9727729520222496E+16</x:v>
      </x:c>
      <x:c r="D36" s="7"/>
      <x:c r="E36" s="7"/>
      <x:c r="F36" s="7"/>
      <x:c r="G36" s="7"/>
      <x:c r="H36" s="7"/>
      <x:c r="I36" s="7"/>
      <x:c r="J36" s="7"/>
      <x:c r="K36" s="7"/>
      <x:c r="L36" s="7"/>
      <x:c r="M36" s="9"/>
    </x:row>
    <x:row r="37">
      <x:c r="A37" s="6">
        <x:v>0.2</x:v>
      </x:c>
      <x:c r="B37" s="7">
        <x:f t="shared" si="3"/>
        <x:v>2.0000000000000002E-5</x:v>
      </x:c>
      <x:c r="C37" s="8">
        <x:f t="shared" si="4"/>
        <x:v>8559069687084096</x:v>
      </x:c>
      <x:c r="D37" s="7"/>
      <x:c r="E37" s="7"/>
      <x:c r="F37" s="7"/>
      <x:c r="G37" s="7"/>
      <x:c r="H37" s="7"/>
      <x:c r="I37" s="7"/>
      <x:c r="J37" s="7"/>
      <x:c r="K37" s="7"/>
      <x:c r="L37" s="7"/>
      <x:c r="M37" s="9"/>
    </x:row>
    <x:row r="38">
      <x:c r="A38" s="6">
        <x:v>0.25</x:v>
      </x:c>
      <x:c r="B38" s="7">
        <x:f t="shared" si="3"/>
        <x:v>2.5000000000000001E-5</x:v>
      </x:c>
      <x:c r="C38" s="8">
        <x:f t="shared" si="4"/>
        <x:v>3164133325484102.5</x:v>
      </x:c>
      <x:c r="D38" s="7"/>
      <x:c r="E38" s="7"/>
      <x:c r="F38" s="7"/>
      <x:c r="G38" s="7"/>
      <x:c r="H38" s="7"/>
      <x:c r="I38" s="7"/>
      <x:c r="J38" s="7"/>
      <x:c r="K38" s="7"/>
      <x:c r="L38" s="7"/>
      <x:c r="M38" s="9"/>
    </x:row>
    <x:row r="39">
      <x:c r="A39" s="6">
        <x:v>0.3</x:v>
      </x:c>
      <x:c r="B39" s="7">
        <x:f t="shared" si="3"/>
        <x:v>3.0000000000000001E-5</x:v>
      </x:c>
      <x:c r="C39" s="8">
        <x:f t="shared" si="4"/>
        <x:v>991742924595504.63</x:v>
      </x:c>
      <x:c r="D39" s="7"/>
      <x:c r="E39" s="7"/>
      <x:c r="F39" s="7"/>
      <x:c r="G39" s="7"/>
      <x:c r="H39" s="7"/>
      <x:c r="I39" s="7"/>
      <x:c r="J39" s="7"/>
      <x:c r="K39" s="7"/>
      <x:c r="L39" s="7"/>
      <x:c r="M39" s="9"/>
    </x:row>
    <x:row r="40">
      <x:c r="A40" s="6">
        <x:v>0.35</x:v>
      </x:c>
      <x:c r="B40" s="7">
        <x:f t="shared" si="3"/>
        <x:v>3.4999999999999997E-5</x:v>
      </x:c>
      <x:c r="C40" s="8">
        <x:f t="shared" si="4"/>
        <x:v>262560189855837.13</x:v>
      </x:c>
      <x:c r="D40" s="7"/>
      <x:c r="E40" s="7"/>
      <x:c r="F40" s="7"/>
      <x:c r="G40" s="7"/>
      <x:c r="H40" s="7"/>
      <x:c r="I40" s="7"/>
      <x:c r="J40" s="7"/>
      <x:c r="K40" s="7"/>
      <x:c r="L40" s="7"/>
      <x:c r="M40" s="9"/>
    </x:row>
    <x:row r="41">
      <x:c r="A41" s="6">
        <x:v>0.4</x:v>
      </x:c>
      <x:c r="B41" s="7">
        <x:f t="shared" si="3"/>
        <x:v>4.0000000000000003E-5</x:v>
      </x:c>
      <x:c r="C41" s="8">
        <x:f t="shared" si="4"/>
        <x:v>58546511049654.484</x:v>
      </x:c>
      <x:c r="D41" s="7"/>
      <x:c r="E41" s="7"/>
      <x:c r="F41" s="7"/>
      <x:c r="G41" s="7"/>
      <x:c r="H41" s="7"/>
      <x:c r="I41" s="7"/>
      <x:c r="J41" s="7"/>
      <x:c r="K41" s="7"/>
      <x:c r="L41" s="7"/>
      <x:c r="M41" s="9"/>
    </x:row>
    <x:row r="42">
      <x:c r="A42" s="6">
        <x:v>0.45</x:v>
      </x:c>
      <x:c r="B42" s="7">
        <x:f t="shared" si="3"/>
        <x:v>4.5000000000000003E-5</x:v>
      </x:c>
      <x:c r="C42" s="8">
        <x:f t="shared" si="4"/>
        <x:v>10971251044283.973</x:v>
      </x:c>
      <x:c r="D42" s="7"/>
      <x:c r="E42" s="7"/>
      <x:c r="F42" s="7"/>
      <x:c r="G42" s="7"/>
      <x:c r="H42" s="7"/>
      <x:c r="I42" s="7"/>
      <x:c r="J42" s="7"/>
      <x:c r="K42" s="7"/>
      <x:c r="L42" s="7"/>
      <x:c r="M42" s="9"/>
    </x:row>
    <x:row r="43">
      <x:c r="A43" s="6">
        <x:v>0.5</x:v>
      </x:c>
      <x:c r="B43" s="7">
        <x:f t="shared" si="3"/>
        <x:v>5.0000000000000002E-5</x:v>
      </x:c>
      <x:c r="C43" s="8">
        <x:f t="shared" si="4"/>
        <x:v>1724821837935.3298</x:v>
      </x:c>
      <x:c r="D43" s="7"/>
      <x:c r="E43" s="7"/>
      <x:c r="F43" s="7"/>
      <x:c r="G43" s="7"/>
      <x:c r="H43" s="7"/>
      <x:c r="I43" s="7"/>
      <x:c r="J43" s="7"/>
      <x:c r="K43" s="7"/>
      <x:c r="L43" s="7"/>
      <x:c r="M43" s="9"/>
    </x:row>
    <x:row r="44">
      <x:c r="A44" s="6">
        <x:v>0.55000000000000004</x:v>
      </x:c>
      <x:c r="B44" s="7">
        <x:f t="shared" si="3"/>
        <x:v>5.5000000000000009E-5</x:v>
      </x:c>
      <x:c r="C44" s="8">
        <x:f t="shared" si="4"/>
        <x:v>227180685037.09998</x:v>
      </x:c>
      <x:c r="D44" s="7"/>
      <x:c r="E44" s="7"/>
      <x:c r="F44" s="7"/>
      <x:c r="G44" s="7"/>
      <x:c r="H44" s="7"/>
      <x:c r="I44" s="7"/>
      <x:c r="J44" s="7"/>
      <x:c r="K44" s="7"/>
      <x:c r="L44" s="7"/>
      <x:c r="M44" s="9"/>
    </x:row>
    <x:row r="45">
      <x:c r="A45" s="6">
        <x:v>0.6</x:v>
      </x:c>
      <x:c r="B45" s="7">
        <x:f t="shared" si="3"/>
        <x:v>6.0000000000000002E-5</x:v>
      </x:c>
      <x:c r="C45" s="8">
        <x:f t="shared" si="4"/>
        <x:v>25041573038.950207</x:v>
      </x:c>
      <x:c r="D45" s="7"/>
      <x:c r="E45" s="7"/>
      <x:c r="F45" s="7"/>
      <x:c r="G45" s="7"/>
      <x:c r="H45" s="7"/>
      <x:c r="I45" s="7"/>
      <x:c r="J45" s="7"/>
      <x:c r="K45" s="7"/>
      <x:c r="L45" s="7"/>
      <x:c r="M45" s="9"/>
    </x:row>
    <x:row r="46">
      <x:c r="A46" s="6">
        <x:v>0.65</x:v>
      </x:c>
      <x:c r="B46" s="7">
        <x:f t="shared" si="3"/>
        <x:v>6.5000000000000008E-5</x:v>
      </x:c>
      <x:c r="C46" s="8">
        <x:f t="shared" si="4"/>
        <x:v>2307962944.853899</x:v>
      </x:c>
      <x:c r="D46" s="7"/>
      <x:c r="E46" s="7"/>
      <x:c r="F46" s="7"/>
      <x:c r="G46" s="7"/>
      <x:c r="H46" s="7"/>
      <x:c r="I46" s="7"/>
      <x:c r="J46" s="7"/>
      <x:c r="K46" s="7"/>
      <x:c r="L46" s="7"/>
      <x:c r="M46" s="9"/>
    </x:row>
    <x:row r="47">
      <x:c r="A47" s="6">
        <x:v>0.7</x:v>
      </x:c>
      <x:c r="B47" s="7">
        <x:f t="shared" si="3"/>
        <x:v>6.9999999999999994E-5</x:v>
      </x:c>
      <x:c r="C47" s="8">
        <x:f t="shared" si="4"/>
        <x:v>177728325.89213949</x:v>
      </x:c>
      <x:c r="D47" s="7"/>
      <x:c r="E47" s="7"/>
      <x:c r="F47" s="7"/>
      <x:c r="G47" s="7"/>
      <x:c r="H47" s="7"/>
      <x:c r="I47" s="7"/>
      <x:c r="J47" s="7"/>
      <x:c r="K47" s="7"/>
      <x:c r="L47" s="7"/>
      <x:c r="M47" s="9"/>
    </x:row>
    <x:row r="48">
      <x:c r="A48" s="6">
        <x:v>0.75</x:v>
      </x:c>
      <x:c r="B48" s="7">
        <x:f t="shared" si="3"/>
        <x:v>7.5000000000000007E-5</x:v>
      </x:c>
      <x:c r="C48" s="8">
        <x:f t="shared" si="4"/>
        <x:v>11428337.165802469</x:v>
      </x:c>
      <x:c r="D48" s="7"/>
      <x:c r="E48" s="7"/>
      <x:c r="F48" s="7"/>
      <x:c r="G48" s="7"/>
      <x:c r="H48" s="7"/>
      <x:c r="I48" s="7"/>
      <x:c r="J48" s="7"/>
      <x:c r="K48" s="7"/>
      <x:c r="L48" s="7"/>
      <x:c r="M48" s="9"/>
    </x:row>
    <x:row r="49">
      <x:c r="A49" s="6">
        <x:v>0.8</x:v>
      </x:c>
      <x:c r="B49" s="7">
        <x:f t="shared" si="3"/>
        <x:v>8.0000000000000007E-5</x:v>
      </x:c>
      <x:c r="C49" s="8">
        <x:f t="shared" si="4"/>
        <x:v>613322.6739331655</x:v>
      </x:c>
      <x:c r="D49" s="7"/>
      <x:c r="E49" s="7"/>
      <x:c r="F49" s="7"/>
      <x:c r="G49" s="7"/>
      <x:c r="H49" s="7"/>
      <x:c r="I49" s="7"/>
      <x:c r="J49" s="7"/>
      <x:c r="K49" s="7"/>
      <x:c r="L49" s="7"/>
      <x:c r="M49" s="9"/>
    </x:row>
    <x:row r="50">
      <x:c r="A50" s="6">
        <x:v>0.85</x:v>
      </x:c>
      <x:c r="B50" s="7">
        <x:f t="shared" si="3"/>
        <x:v>8.5000000000000006E-5</x:v>
      </x:c>
      <x:c r="C50" s="8">
        <x:f t="shared" si="4"/>
        <x:v>27459.330990170285</x:v>
      </x:c>
      <x:c r="D50" s="7"/>
      <x:c r="E50" s="7"/>
      <x:c r="F50" s="7"/>
      <x:c r="G50" s="7"/>
      <x:c r="H50" s="7"/>
      <x:c r="I50" s="7"/>
      <x:c r="J50" s="7"/>
      <x:c r="K50" s="7"/>
      <x:c r="L50" s="7"/>
      <x:c r="M50" s="9"/>
    </x:row>
    <x:row r="51">
      <x:c r="A51" s="6">
        <x:v>0.9</x:v>
      </x:c>
      <x:c r="B51" s="7">
        <x:f t="shared" si="3"/>
        <x:v>9.0000000000000006E-5</x:v>
      </x:c>
      <x:c r="C51" s="8">
        <x:f t="shared" si="4"/>
        <x:v>1025.2480294714167</x:v>
      </x:c>
      <x:c r="D51" s="7"/>
      <x:c r="E51" s="7"/>
      <x:c r="F51" s="7"/>
      <x:c r="G51" s="7"/>
      <x:c r="H51" s="7"/>
      <x:c r="I51" s="7"/>
      <x:c r="J51" s="7"/>
      <x:c r="K51" s="7"/>
      <x:c r="L51" s="7"/>
      <x:c r="M51" s="9"/>
    </x:row>
    <x:row r="52">
      <x:c r="A52" s="6">
        <x:v>0.95</x:v>
      </x:c>
      <x:c r="B52" s="7">
        <x:f t="shared" si="3"/>
        <x:v>9.5000000000000005E-5</x:v>
      </x:c>
      <x:c r="C52" s="8">
        <x:f t="shared" si="4"/>
        <x:v>31.913297075951448</x:v>
      </x:c>
      <x:c r="D52" s="7"/>
      <x:c r="E52" s="7"/>
      <x:c r="F52" s="7"/>
      <x:c r="G52" s="7"/>
      <x:c r="H52" s="7"/>
      <x:c r="I52" s="7"/>
      <x:c r="J52" s="7"/>
      <x:c r="K52" s="7"/>
      <x:c r="L52" s="7"/>
      <x:c r="M52" s="9"/>
    </x:row>
    <x:row r="53">
      <x:c r="A53" s="6">
        <x:v>1</x:v>
      </x:c>
      <x:c r="B53" s="7">
        <x:f t="shared" si="3"/>
        <x:v>1E-4</x:v>
      </x:c>
      <x:c r="C53" s="8">
        <x:f t="shared" si="4"/>
        <x:v>0.82794668101702207</x:v>
      </x:c>
      <x:c r="D53" s="7"/>
      <x:c r="E53" s="7"/>
      <x:c r="F53" s="7"/>
      <x:c r="G53" s="7"/>
      <x:c r="H53" s="7"/>
      <x:c r="I53" s="7"/>
      <x:c r="J53" s="7"/>
      <x:c r="K53" s="7"/>
      <x:c r="L53" s="7"/>
      <x:c r="M53" s="9"/>
    </x:row>
    <x:row r="54" ht="15">
      <x:c r="A54" s="12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1"/>
      <x:c r="O54" t="s">
        <x:v>19</x:v>
      </x:c>
    </x:row>
    <x:row r="55" ht="15"/>
    <x:row r="56" ht="15">
      <x:c r="A56" s="17" t="s">
        <x:v>20</x:v>
      </x:c>
      <x:c r="B56" s="18"/>
      <x:c r="C56" s="18"/>
      <x:c r="D56" s="4"/>
      <x:c r="E56" s="4"/>
      <x:c r="F56" s="4"/>
      <x:c r="G56" s="4"/>
      <x:c r="H56" s="4"/>
      <x:c r="I56" s="4"/>
      <x:c r="J56" s="4"/>
      <x:c r="K56" s="4"/>
      <x:c r="L56" s="4"/>
      <x:c r="M56" s="5"/>
    </x:row>
    <x:row r="57">
      <x:c r="A57" s="6" t="s">
        <x:v>21</x:v>
      </x:c>
      <x:c r="B57" s="8" t="n">
        <x:f>(2/SQRT(PI()))*$I$30*SQRT($C$30*$F$30)</x:f>
        <x:v>928242243974.9669</x:v>
      </x:c>
      <x:c r="C57" s="7" t="s">
        <x:v>22</x:v>
      </x:c>
      <x:c r="D57" s="7"/>
      <x:c r="E57" s="7" t="str">
        <x:v>opraven vzorec podle rovnice (5.6)</x:v>
      </x:c>
      <x:c r="F57" s="7"/>
      <x:c r="G57" s="7"/>
      <x:c r="H57" s="7"/>
      <x:c r="I57" s="7"/>
      <x:c r="J57" s="7"/>
      <x:c r="K57" s="7"/>
      <x:c r="L57" s="7"/>
      <x:c r="M57" s="9"/>
    </x:row>
    <x:row r="58" ht="15">
      <x:c r="A58" s="12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1"/>
    </x:row>
    <x:row r="60" ht="15">
      <x:c r="A60" s="1" t="s">
        <x:v>23</x:v>
      </x:c>
    </x:row>
    <x:row r="61" ht="15.75">
      <x:c r="A61" s="1"/>
    </x:row>
    <x:row r="62" ht="15">
      <x:c r="A62" s="17" t="s">
        <x:v>24</x:v>
      </x:c>
      <x:c r="B62" s="18"/>
      <x:c r="C62" s="18"/>
      <x:c r="D62" s="4"/>
      <x:c r="E62" s="4"/>
      <x:c r="F62" s="4"/>
      <x:c r="G62" s="4"/>
      <x:c r="H62" s="4"/>
      <x:c r="I62" s="4"/>
      <x:c r="J62" s="4"/>
      <x:c r="K62" s="4"/>
      <x:c r="L62" s="4"/>
      <x:c r="M62" s="5"/>
    </x:row>
    <x:row r="63">
      <x:c r="A63" s="21" t="s">
        <x:v>25</x:v>
      </x:c>
      <x:c r="B63" s="20">
        <x:v>100000</x:v>
      </x:c>
      <x:c r="C63" s="20" t="s">
        <x:v>26</x:v>
      </x:c>
      <x:c r="D63" s="7"/>
      <x:c r="E63" s="7"/>
      <x:c r="F63" s="7"/>
      <x:c r="G63" s="7"/>
      <x:c r="H63" s="7"/>
      <x:c r="I63" s="7"/>
      <x:c r="J63" s="7"/>
      <x:c r="K63" s="7"/>
      <x:c r="L63" s="7"/>
      <x:c r="M63" s="9"/>
    </x:row>
    <x:row r="64">
      <x:c r="A64" s="22" t="s">
        <x:v>27</x:v>
      </x:c>
      <x:c r="B64" s="23">
        <x:v>3.0000000000000001E-5</x:v>
      </x:c>
      <x:c r="C64" s="20" t="s">
        <x:v>28</x:v>
      </x:c>
      <x:c r="D64" s="31" t="s">
        <x:v>29</x:v>
      </x:c>
      <x:c r="E64" s="31"/>
      <x:c r="F64" s="7"/>
      <x:c r="G64" s="7"/>
      <x:c r="H64" s="7"/>
      <x:c r="I64" s="7"/>
      <x:c r="J64" s="7"/>
      <x:c r="K64" s="7"/>
      <x:c r="L64" s="7"/>
      <x:c r="M64" s="9"/>
    </x:row>
    <x:row r="65">
      <x:c r="A65" s="22" t="s">
        <x:v>30</x:v>
      </x:c>
      <x:c r="B65" s="23">
        <x:v>6.9999999999999999E-6</x:v>
      </x:c>
      <x:c r="C65" s="20" t="s">
        <x:v>28</x:v>
      </x:c>
      <x:c r="D65" s="31"/>
      <x:c r="E65" s="31"/>
      <x:c r="F65" s="7"/>
      <x:c r="G65" s="7"/>
      <x:c r="H65" s="7"/>
      <x:c r="I65" s="7"/>
      <x:c r="J65" s="7"/>
      <x:c r="K65" s="7"/>
      <x:c r="L65" s="7"/>
      <x:c r="M65" s="9"/>
    </x:row>
    <x:row r="66">
      <x:c r="A66" s="22" t="s">
        <x:v>31</x:v>
      </x:c>
      <x:c r="B66" s="23">
        <x:v>500000000000000</x:v>
      </x:c>
      <x:c r="C66" s="20" t="s">
        <x:v>32</x:v>
      </x:c>
      <x:c r="D66" s="25" t="s">
        <x:v>33</x:v>
      </x:c>
      <x:c r="E66" s="24"/>
      <x:c r="F66" s="7"/>
      <x:c r="G66" s="7"/>
      <x:c r="H66" s="7"/>
      <x:c r="I66" s="7"/>
      <x:c r="J66" s="7"/>
      <x:c r="K66" s="7"/>
      <x:c r="L66" s="7"/>
      <x:c r="M66" s="9"/>
    </x:row>
    <x:row r="67" ht="15">
      <x:c r="A67" s="12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1"/>
    </x:row>
    <x:row r="68" ht="15"/>
    <x:row r="69" ht="15">
      <x:c r="A69" s="17" t="s">
        <x:v>34</x:v>
      </x:c>
      <x:c r="B69" s="18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5"/>
    </x:row>
    <x:row r="70">
      <x:c r="A70" s="6" t="s">
        <x:v>16</x:v>
      </x:c>
      <x:c r="B70" s="7" t="s">
        <x:v>17</x:v>
      </x:c>
      <x:c r="C70" s="7" t="s">
        <x:v>35</x:v>
      </x:c>
      <x:c r="D70" s="35" t="s">
        <x:v>35</x:v>
      </x:c>
      <x:c r="E70" s="7"/>
      <x:c r="F70" s="7"/>
      <x:c r="G70" s="7"/>
      <x:c r="H70" s="7"/>
      <x:c r="I70" s="7"/>
      <x:c r="J70" s="7"/>
      <x:c r="K70" s="7"/>
      <x:c r="L70" s="7"/>
      <x:c r="M70" s="9"/>
    </x:row>
    <x:row r="71">
      <x:c r="A71" s="6">
        <x:v>0</x:v>
      </x:c>
      <x:c r="B71" s="7" t="n">
        <x:f>A71*0.0001</x:f>
        <x:v>0</x:v>
      </x:c>
      <x:c r="C71" s="8" t="n">
        <x:f>($B$66/(SQRT(2*PI())*$B$65))*EXP(-((B71-$B$64)^2)/(2*($B$65^2)))</x:f>
        <x:v>2926599666602911</x:v>
      </x:c>
      <x:c r="D71" s="8"/>
      <x:c r="E71" s="7" t="str">
        <x:v>opraven vzorec podle rovnice (5.7)</x:v>
      </x:c>
      <x:c r="F71" s="7"/>
      <x:c r="G71" s="7"/>
      <x:c r="H71" s="7"/>
      <x:c r="I71" s="7"/>
      <x:c r="J71" s="7"/>
      <x:c r="K71" s="7"/>
      <x:c r="L71" s="7"/>
      <x:c r="M71" s="9"/>
    </x:row>
    <x:row r="72">
      <x:c r="A72" s="6">
        <x:v>0.05</x:v>
      </x:c>
      <x:c r="B72" s="7" t="n">
        <x:f t="shared" ref="B72:B91" si="5">A72*0.0001</x:f>
        <x:v>0.000005</x:v>
      </x:c>
      <x:c r="C72" s="8" t="n">
        <x:f t="shared" ref="C72:C91" si="6">($B$66/(SQRT(2*PI())*$B$65))*EXP(-((B72-$B$64)^2)/(2*($B$65^2)))</x:f>
        <x:v>48422456080905490</x:v>
      </x:c>
      <x:c r="D72" s="8">
        <x:f t="shared" ref="D72:D91" si="7">($B$66/(SQRT(2*PI()*$B$65))*2.71^((B72-$B$64)^2)/(-2*$B$65^2))</x:f>
      </x:c>
      <x:c r="E72" s="7"/>
      <x:c r="F72" s="7"/>
      <x:c r="G72" s="7"/>
      <x:c r="H72" s="7"/>
      <x:c r="I72" s="7"/>
      <x:c r="J72" s="7"/>
      <x:c r="K72" s="7"/>
      <x:c r="L72" s="7"/>
      <x:c r="M72" s="9"/>
    </x:row>
    <x:row r="73">
      <x:c r="A73" s="6">
        <x:v>0.1</x:v>
      </x:c>
      <x:c r="B73" s="7">
        <x:f t="shared" si="5"/>
        <x:v>1.0000000000000001E-5</x:v>
      </x:c>
      <x:c r="C73" s="8" t="n">
        <x:f t="shared" si="6">($B$66/(SQRT(2*PI())*$B$65))*EXP(-((B73-$B$64)^2)/(2*($B$65^2)))</x:f>
        <x:v>481007105373589300</x:v>
      </x:c>
      <x:c r="D73" s="8">
        <x:f t="shared" si="7"/>
      </x:c>
      <x:c r="E73" s="7"/>
      <x:c r="F73" s="7"/>
      <x:c r="G73" s="7"/>
      <x:c r="H73" s="7"/>
      <x:c r="I73" s="7"/>
      <x:c r="J73" s="7"/>
      <x:c r="K73" s="7"/>
      <x:c r="L73" s="7"/>
      <x:c r="M73" s="9"/>
    </x:row>
    <x:row r="74">
      <x:c r="A74" s="6">
        <x:v>0.15</x:v>
      </x:c>
      <x:c r="B74" s="7">
        <x:f t="shared" si="5"/>
        <x:v>1.5E-5</x:v>
      </x:c>
      <x:c r="C74" s="8" t="n">
        <x:f t="shared" si="6">($B$66/(SQRT(2*PI())*$B$65))*EXP(-((B74-$B$64)^2)/(2*($B$65^2)))</x:f>
        <x:v>2868648602921650000</x:v>
      </x:c>
      <x:c r="D74" s="8">
        <x:f t="shared" si="7"/>
      </x:c>
      <x:c r="E74" s="7"/>
      <x:c r="F74" s="7"/>
      <x:c r="G74" s="7"/>
      <x:c r="H74" s="7"/>
      <x:c r="I74" s="7"/>
      <x:c r="J74" s="7"/>
      <x:c r="K74" s="7"/>
      <x:c r="L74" s="7"/>
      <x:c r="M74" s="9"/>
    </x:row>
    <x:row r="75">
      <x:c r="A75" s="6">
        <x:v>0.2</x:v>
      </x:c>
      <x:c r="B75" s="7">
        <x:f t="shared" si="5"/>
        <x:v>2.0000000000000002E-5</x:v>
      </x:c>
      <x:c r="C75" s="8" t="n">
        <x:f t="shared" si="6">($B$66/(SQRT(2*PI())*$B$65))*EXP(-((B75-$B$64)^2)/(2*($B$65^2)))</x:f>
        <x:v>10271275910633450000</x:v>
      </x:c>
      <x:c r="D75" s="8">
        <x:f t="shared" si="7"/>
      </x:c>
      <x:c r="E75" s="7"/>
      <x:c r="F75" s="7"/>
      <x:c r="G75" s="7"/>
      <x:c r="H75" s="7"/>
      <x:c r="I75" s="7"/>
      <x:c r="J75" s="7"/>
      <x:c r="K75" s="7"/>
      <x:c r="L75" s="7"/>
      <x:c r="M75" s="9"/>
    </x:row>
    <x:row r="76">
      <x:c r="A76" s="6">
        <x:v>0.25</x:v>
      </x:c>
      <x:c r="B76" s="7">
        <x:f t="shared" si="5"/>
        <x:v>2.5000000000000001E-5</x:v>
      </x:c>
      <x:c r="C76" s="8" t="n">
        <x:f t="shared" si="6">($B$66/(SQRT(2*PI())*$B$65))*EXP(-((B76-$B$64)^2)/(2*($B$65^2)))</x:f>
        <x:v>22079672201361887000</x:v>
      </x:c>
      <x:c r="D76" s="8">
        <x:f t="shared" si="7"/>
      </x:c>
      <x:c r="E76" s="7"/>
      <x:c r="F76" s="7"/>
      <x:c r="G76" s="7"/>
      <x:c r="H76" s="7"/>
      <x:c r="I76" s="7"/>
      <x:c r="J76" s="7"/>
      <x:c r="K76" s="7"/>
      <x:c r="L76" s="7"/>
      <x:c r="M76" s="9"/>
    </x:row>
    <x:row r="77">
      <x:c r="A77" s="6">
        <x:v>0.3</x:v>
      </x:c>
      <x:c r="B77" s="7">
        <x:f t="shared" si="5"/>
        <x:v>3.0000000000000001E-5</x:v>
      </x:c>
      <x:c r="C77" s="8" t="n">
        <x:f t="shared" si="6">($B$66/(SQRT(2*PI())*$B$65))*EXP(-((B77-$B$64)^2)/(2*($B$65^2)))</x:f>
        <x:v>28495877171530908000</x:v>
      </x:c>
      <x:c r="D77" s="8">
        <x:f t="shared" si="7"/>
      </x:c>
      <x:c r="E77" s="7"/>
      <x:c r="F77" s="7"/>
      <x:c r="G77" s="7"/>
      <x:c r="H77" s="7"/>
      <x:c r="I77" s="7"/>
      <x:c r="J77" s="7"/>
      <x:c r="K77" s="7"/>
      <x:c r="L77" s="7"/>
      <x:c r="M77" s="9"/>
    </x:row>
    <x:row r="78">
      <x:c r="A78" s="6">
        <x:v>0.35</x:v>
      </x:c>
      <x:c r="B78" s="7">
        <x:f t="shared" si="5"/>
        <x:v>3.4999999999999997E-5</x:v>
      </x:c>
      <x:c r="C78" s="8" t="n">
        <x:f t="shared" si="6">($B$66/(SQRT(2*PI())*$B$65))*EXP(-((B78-$B$64)^2)/(2*($B$65^2)))</x:f>
        <x:v>22079672201361895000</x:v>
      </x:c>
      <x:c r="D78" s="8">
        <x:f t="shared" si="7"/>
      </x:c>
      <x:c r="E78" s="7"/>
      <x:c r="F78" s="7"/>
      <x:c r="G78" s="7"/>
      <x:c r="H78" s="7"/>
      <x:c r="I78" s="7"/>
      <x:c r="J78" s="7"/>
      <x:c r="K78" s="7"/>
      <x:c r="L78" s="7"/>
      <x:c r="M78" s="9"/>
    </x:row>
    <x:row r="79">
      <x:c r="A79" s="6">
        <x:v>0.4</x:v>
      </x:c>
      <x:c r="B79" s="7">
        <x:f t="shared" si="5"/>
        <x:v>4.0000000000000003E-5</x:v>
      </x:c>
      <x:c r="C79" s="8" t="n">
        <x:f t="shared" si="6">($B$66/(SQRT(2*PI())*$B$65))*EXP(-((B79-$B$64)^2)/(2*($B$65^2)))</x:f>
        <x:v>10271275910633440000</x:v>
      </x:c>
      <x:c r="D79" s="8">
        <x:f t="shared" si="7"/>
      </x:c>
      <x:c r="E79" s="7"/>
      <x:c r="F79" s="7"/>
      <x:c r="G79" s="7"/>
      <x:c r="H79" s="7"/>
      <x:c r="I79" s="7"/>
      <x:c r="J79" s="7"/>
      <x:c r="K79" s="7"/>
      <x:c r="L79" s="7"/>
      <x:c r="M79" s="9"/>
    </x:row>
    <x:row r="80">
      <x:c r="A80" s="6">
        <x:v>0.45</x:v>
      </x:c>
      <x:c r="B80" s="7">
        <x:f t="shared" si="5"/>
        <x:v>4.5000000000000003E-5</x:v>
      </x:c>
      <x:c r="C80" s="8" t="n">
        <x:f t="shared" si="6">($B$66/(SQRT(2*PI())*$B$65))*EXP(-((B80-$B$64)^2)/(2*($B$65^2)))</x:f>
        <x:v>2868648602921649000</x:v>
      </x:c>
      <x:c r="D80" s="8">
        <x:f t="shared" si="7"/>
      </x:c>
      <x:c r="E80" s="7"/>
      <x:c r="F80" s="7"/>
      <x:c r="G80" s="7"/>
      <x:c r="H80" s="7"/>
      <x:c r="I80" s="7"/>
      <x:c r="J80" s="7"/>
      <x:c r="K80" s="7"/>
      <x:c r="L80" s="7"/>
      <x:c r="M80" s="9"/>
    </x:row>
    <x:row r="81">
      <x:c r="A81" s="6">
        <x:v>0.5</x:v>
      </x:c>
      <x:c r="B81" s="7">
        <x:f t="shared" si="5"/>
        <x:v>5.0000000000000002E-5</x:v>
      </x:c>
      <x:c r="C81" s="8" t="n">
        <x:f t="shared" si="6">($B$66/(SQRT(2*PI())*$B$65))*EXP(-((B81-$B$64)^2)/(2*($B$65^2)))</x:f>
        <x:v>481007105373588400</x:v>
      </x:c>
      <x:c r="D81" s="8">
        <x:f t="shared" si="7"/>
      </x:c>
      <x:c r="E81" s="7"/>
      <x:c r="F81" s="7"/>
      <x:c r="G81" s="7"/>
      <x:c r="H81" s="7"/>
      <x:c r="I81" s="7"/>
      <x:c r="J81" s="7"/>
      <x:c r="K81" s="7"/>
      <x:c r="L81" s="7"/>
      <x:c r="M81" s="9"/>
    </x:row>
    <x:row r="82">
      <x:c r="A82" s="6">
        <x:v>0.55000000000000004</x:v>
      </x:c>
      <x:c r="B82" s="7">
        <x:f t="shared" si="5"/>
        <x:v>5.5000000000000009E-5</x:v>
      </x:c>
      <x:c r="C82" s="8" t="n">
        <x:f t="shared" si="6">($B$66/(SQRT(2*PI())*$B$65))*EXP(-((B82-$B$64)^2)/(2*($B$65^2)))</x:f>
        <x:v>48422456080905270</x:v>
      </x:c>
      <x:c r="D82" s="8">
        <x:f t="shared" si="7"/>
      </x:c>
      <x:c r="E82" s="7"/>
      <x:c r="F82" s="7"/>
      <x:c r="G82" s="7"/>
      <x:c r="H82" s="7"/>
      <x:c r="I82" s="7"/>
      <x:c r="J82" s="7"/>
      <x:c r="K82" s="7"/>
      <x:c r="L82" s="7"/>
      <x:c r="M82" s="9"/>
    </x:row>
    <x:row r="83">
      <x:c r="A83" s="6">
        <x:v>0.6</x:v>
      </x:c>
      <x:c r="B83" s="7">
        <x:f t="shared" si="5"/>
        <x:v>6.0000000000000002E-5</x:v>
      </x:c>
      <x:c r="C83" s="8" t="n">
        <x:f t="shared" si="6">($B$66/(SQRT(2*PI())*$B$65))*EXP(-((B83-$B$64)^2)/(2*($B$65^2)))</x:f>
        <x:v>2926599666602911</x:v>
      </x:c>
      <x:c r="D83" s="8">
        <x:f t="shared" si="7"/>
      </x:c>
      <x:c r="E83" s="7"/>
      <x:c r="F83" s="7"/>
      <x:c r="G83" s="7"/>
      <x:c r="H83" s="7"/>
      <x:c r="I83" s="7"/>
      <x:c r="J83" s="7"/>
      <x:c r="K83" s="7"/>
      <x:c r="L83" s="7"/>
      <x:c r="M83" s="9"/>
    </x:row>
    <x:row r="84">
      <x:c r="A84" s="6">
        <x:v>0.65</x:v>
      </x:c>
      <x:c r="B84" s="7">
        <x:f t="shared" si="5"/>
        <x:v>6.5000000000000008E-5</x:v>
      </x:c>
      <x:c r="C84" s="8" t="n">
        <x:f t="shared" si="6">($B$66/(SQRT(2*PI())*$B$65))*EXP(-((B84-$B$64)^2)/(2*($B$65^2)))</x:f>
        <x:v>106194251052448.9</x:v>
      </x:c>
      <x:c r="D84" s="8">
        <x:f t="shared" si="7"/>
      </x:c>
      <x:c r="E84" s="7"/>
      <x:c r="F84" s="7"/>
      <x:c r="G84" s="7"/>
      <x:c r="H84" s="7"/>
      <x:c r="I84" s="7"/>
      <x:c r="J84" s="7"/>
      <x:c r="K84" s="7"/>
      <x:c r="L84" s="7"/>
      <x:c r="M84" s="9"/>
    </x:row>
    <x:row r="85">
      <x:c r="A85" s="6">
        <x:v>0.7</x:v>
      </x:c>
      <x:c r="B85" s="7">
        <x:f t="shared" si="5"/>
        <x:v>6.9999999999999994E-5</x:v>
      </x:c>
      <x:c r="C85" s="8" t="n">
        <x:f t="shared" si="6">($B$66/(SQRT(2*PI())*$B$65))*EXP(-((B85-$B$64)^2)/(2*($B$65^2)))</x:f>
        <x:v>2313448716095.731</x:v>
      </x:c>
      <x:c r="D85" s="8">
        <x:f t="shared" si="7"/>
      </x:c>
      <x:c r="E85" s="7"/>
      <x:c r="F85" s="7"/>
      <x:c r="G85" s="7"/>
      <x:c r="H85" s="7"/>
      <x:c r="I85" s="7"/>
      <x:c r="J85" s="7"/>
      <x:c r="K85" s="7"/>
      <x:c r="L85" s="7"/>
      <x:c r="M85" s="9"/>
    </x:row>
    <x:row r="86">
      <x:c r="A86" s="6">
        <x:v>0.75</x:v>
      </x:c>
      <x:c r="B86" s="7">
        <x:f t="shared" si="5"/>
        <x:v>7.5000000000000007E-5</x:v>
      </x:c>
      <x:c r="C86" s="8" t="n">
        <x:f t="shared" si="6">($B$66/(SQRT(2*PI())*$B$65))*EXP(-((B86-$B$64)^2)/(2*($B$65^2)))</x:f>
        <x:v>30257979868.255352</x:v>
      </x:c>
      <x:c r="D86" s="8">
        <x:f t="shared" si="7"/>
      </x:c>
      <x:c r="E86" s="7"/>
      <x:c r="F86" s="7"/>
      <x:c r="G86" s="7"/>
      <x:c r="H86" s="7"/>
      <x:c r="I86" s="7"/>
      <x:c r="J86" s="7"/>
      <x:c r="K86" s="7"/>
      <x:c r="L86" s="7"/>
      <x:c r="M86" s="9"/>
    </x:row>
    <x:row r="87">
      <x:c r="A87" s="6">
        <x:v>0.8</x:v>
      </x:c>
      <x:c r="B87" s="7">
        <x:f t="shared" si="5"/>
        <x:v>8.0000000000000007E-5</x:v>
      </x:c>
      <x:c r="C87" s="8" t="n">
        <x:f t="shared" si="6">($B$66/(SQRT(2*PI())*$B$65))*EXP(-((B87-$B$64)^2)/(2*($B$65^2)))</x:f>
        <x:v>237597116.25907767</x:v>
      </x:c>
      <x:c r="D87" s="8">
        <x:f t="shared" si="7"/>
      </x:c>
      <x:c r="E87" s="7"/>
      <x:c r="F87" s="7"/>
      <x:c r="G87" s="7"/>
      <x:c r="H87" s="7"/>
      <x:c r="I87" s="7"/>
      <x:c r="J87" s="7"/>
      <x:c r="K87" s="7"/>
      <x:c r="L87" s="7"/>
      <x:c r="M87" s="9"/>
    </x:row>
    <x:row r="88">
      <x:c r="A88" s="6">
        <x:v>0.85</x:v>
      </x:c>
      <x:c r="B88" s="7">
        <x:f t="shared" si="5"/>
        <x:v>8.5000000000000006E-5</x:v>
      </x:c>
      <x:c r="C88" s="8" t="n">
        <x:f t="shared" si="6">($B$66/(SQRT(2*PI())*$B$65))*EXP(-((B88-$B$64)^2)/(2*($B$65^2)))</x:f>
        <x:v>1120117.5031326176</x:v>
      </x:c>
      <x:c r="D88" s="8">
        <x:f t="shared" si="7"/>
      </x:c>
      <x:c r="E88" s="7"/>
      <x:c r="F88" s="7"/>
      <x:c r="G88" s="7"/>
      <x:c r="H88" s="7"/>
      <x:c r="I88" s="7"/>
      <x:c r="J88" s="7"/>
      <x:c r="K88" s="7"/>
      <x:c r="L88" s="7"/>
      <x:c r="M88" s="9"/>
    </x:row>
    <x:row r="89">
      <x:c r="A89" s="6">
        <x:v>0.9</x:v>
      </x:c>
      <x:c r="B89" s="7">
        <x:f t="shared" si="5"/>
        <x:v>9.0000000000000006E-5</x:v>
      </x:c>
      <x:c r="C89" s="8" t="n">
        <x:f t="shared" si="6">($B$66/(SQRT(2*PI())*$B$65))*EXP(-((B89-$B$64)^2)/(2*($B$65^2)))</x:f>
        <x:v>3170.3498149554875</x:v>
      </x:c>
      <x:c r="D89" s="8">
        <x:f t="shared" si="7"/>
      </x:c>
      <x:c r="E89" s="7"/>
      <x:c r="F89" s="7"/>
      <x:c r="G89" s="7"/>
      <x:c r="H89" s="7"/>
      <x:c r="I89" s="7"/>
      <x:c r="J89" s="7"/>
      <x:c r="K89" s="7"/>
      <x:c r="L89" s="7"/>
      <x:c r="M89" s="9"/>
    </x:row>
    <x:row r="90">
      <x:c r="A90" s="6">
        <x:v>0.95</x:v>
      </x:c>
      <x:c r="B90" s="7">
        <x:f t="shared" si="5"/>
        <x:v>9.5000000000000005E-5</x:v>
      </x:c>
      <x:c r="C90" s="8" t="n">
        <x:f t="shared" si="6">($B$66/(SQRT(2*PI())*$B$65))*EXP(-((B90-$B$64)^2)/(2*($B$65^2)))</x:f>
        <x:v>5.38731002213755</x:v>
      </x:c>
      <x:c r="D90" s="8">
        <x:f t="shared" si="7"/>
      </x:c>
      <x:c r="E90" s="7"/>
      <x:c r="F90" s="7"/>
      <x:c r="G90" s="7"/>
      <x:c r="H90" s="7"/>
      <x:c r="I90" s="7"/>
      <x:c r="J90" s="7"/>
      <x:c r="K90" s="7"/>
      <x:c r="L90" s="7"/>
      <x:c r="M90" s="9"/>
    </x:row>
    <x:row r="91">
      <x:c r="A91" s="6">
        <x:v>1</x:v>
      </x:c>
      <x:c r="B91" s="7">
        <x:f t="shared" si="5"/>
        <x:v>1E-4</x:v>
      </x:c>
      <x:c r="C91" s="8" t="n">
        <x:f t="shared" si="6">($B$66/(SQRT(2*PI())*$B$65))*EXP(-((B91-$B$64)^2)/(2*($B$65^2)))</x:f>
        <x:v>0.005496141876218832</x:v>
      </x:c>
      <x:c r="D91" s="8">
        <x:f t="shared" si="7"/>
      </x:c>
      <x:c r="E91" s="7"/>
      <x:c r="F91" s="7"/>
      <x:c r="G91" s="7"/>
      <x:c r="H91" s="7"/>
      <x:c r="I91" s="7"/>
      <x:c r="J91" s="7"/>
      <x:c r="K91" s="7"/>
      <x:c r="L91" s="7"/>
      <x:c r="M91" s="9"/>
    </x:row>
    <x:row r="92" ht="15">
      <x:c r="A92" s="12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1"/>
    </x:row>
    <x:row r="94" ht="15">
      <x:c r="A94" s="32" t="s">
        <x:v>36</x:v>
      </x:c>
      <x:c r="B94" s="32"/>
      <x:c r="C94" s="32"/>
    </x:row>
    <x:row r="95">
      <x:c r="A95" s="34" t="s">
        <x:v>37</x:v>
      </x:c>
      <x:c r="B95" s="2">
        <x:v>200</x:v>
      </x:c>
      <x:c r="C95" s="2" t="s">
        <x:v>38</x:v>
      </x:c>
    </x:row>
    <x:row r="96">
      <x:c r="A96" s="34" t="s">
        <x:v>39</x:v>
      </x:c>
      <x:c r="B96" s="2" t="n">
        <x:f>B95/20</x:f>
        <x:v>10</x:v>
      </x:c>
      <x:c r="C96" s="2" t="s">
        <x:v>28</x:v>
      </x:c>
    </x:row>
    <x:row r="97">
      <x:c r="A97" s="33" t="s">
        <x:v>31</x:v>
      </x:c>
      <x:c r="B97" t="n">
        <x:f>PI()*$B$96^2</x:f>
        <x:v>314.1592653589793</x:v>
      </x:c>
      <x:c r="C97" t="s">
        <x:v>40</x:v>
      </x:c>
    </x:row>
    <x:row r="98">
      <x:c r="A98" s="33" t="s">
        <x:v>41</x:v>
      </x:c>
      <x:c r="B98" s="26" t="n">
        <x:f>$B$66*$B$97</x:f>
        <x:v>157079632679489660</x:v>
      </x:c>
      <x:c r="C98" t="s">
        <x:v>42</x:v>
      </x:c>
    </x:row>
    <x:row r="99">
      <x:c r="A99" s="33" t="s">
        <x:v>25</x:v>
      </x:c>
      <x:c r="B99" t="n">
        <x:f>1.602*10^-19</x:f>
        <x:v>1.602e-19</x:v>
      </x:c>
      <x:c r="C99" t="s">
        <x:v>43</x:v>
      </x:c>
    </x:row>
    <x:row r="100">
      <x:c r="A100" s="33" t="s">
        <x:v>44</x:v>
      </x:c>
      <x:c r="B100" s="26" t="n">
        <x:f>$B$98*$B$99</x:f>
        <x:v>0.025164157155254243</x:v>
      </x:c>
      <x:c r="C100" t="s">
        <x:v>43</x:v>
      </x:c>
    </x:row>
    <x:row r="101">
      <x:c r="A101" s="33" t="s">
        <x:v>12</x:v>
      </x:c>
      <x:c r="B101">
        <x:v>60</x:v>
      </x:c>
      <x:c r="C101" t="s">
        <x:v>13</x:v>
      </x:c>
    </x:row>
    <x:row r="102">
      <x:c r="A102" s="33" t="s">
        <x:v>45</x:v>
      </x:c>
      <x:c r="B102" s="26" t="n">
        <x:f>$B$100/$B$101</x:f>
        <x:v>0.0004194026192542374</x:v>
      </x:c>
      <x:c r="C102" t="s">
        <x:v>46</x:v>
      </x:c>
    </x:row>
  </x:sheetData>
  <x:mergeCells>
    <x:mergeCell ref="A1:H1"/>
    <x:mergeCell ref="A3:G3"/>
    <x:mergeCell ref="A30:B30"/>
    <x:mergeCell ref="D64:E65"/>
  </x:mergeCells>
  <x:pageMargins left="0.7" right="0.7" top="0.75" bottom="0.75" header="0.3" footer="0.3"/>
  <x:drawing xmlns:r="http://schemas.openxmlformats.org/officeDocument/2006/relationships" r:id="Rc5453a5bf2d24823"/>
</x:worksheet>
</file>
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kol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<sst xmlns="http://schemas.openxmlformats.org/spreadsheetml/2006/main" count="10" uniqueCount="10">
  <si>
    <t xml:space="preserve">Parametr</t>
  </si>
  <si>
    <t xml:space="preserve">Hodnota</t>
  </si>
  <si>
    <t xml:space="preserve">εs [–]</t>
  </si>
  <si>
    <t xml:space="preserve">ε∞ [–]</t>
  </si>
  <si>
    <t xml:space="preserve">τ [s]</t>
  </si>
  <si>
    <t xml:space="preserve">f [Hz]</t>
  </si>
  <si>
    <t xml:space="preserve">ω [rad/s]</t>
  </si>
  <si>
    <t xml:space="preserve">ε′ [–]</t>
  </si>
  <si>
    <t xml:space="preserve">ε″ [–]</t>
  </si>
  <si>
    <t xml:space="preserve">tg δ [–]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</si>
</sst>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0E+00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CE7F1"/>
        <bgColor rgb="FFD9D9D9"/>
      </patternFill>
    </fill>
    <fill>
      <patternFill patternType="solid">
        <fgColor rgb="FFFFF2AB"/>
        <bgColor rgb="FFFFFFCC"/>
      </patternFill>
    </fill>
    <fill>
      <patternFill patternType="solid">
        <fgColor rgb="FF17324D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CCCCC"/>
      <rgbColor rgb="FF8B8B8B"/>
      <rgbColor rgb="FF9999FF"/>
      <rgbColor rgb="FF993366"/>
      <rgbColor rgb="FFFFFFCC"/>
      <rgbColor rgb="FFDCE7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2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'ukol 1'!$B$1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156082"/>
            </a:solidFill>
            <a:ln w="38160">
              <a:solidFill>
                <a:srgbClr val="156082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81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'ukol 1'!$D$8:$D$27</c:f>
              <c:numCache>
                <c:formatCode>0.000E+00</c:formatCode>
                <c:ptCount val="20"/>
                <c:pt idx="0">
                  <c:v>8</c:v>
                </c:pt>
                <c:pt idx="1">
                  <c:v>2.01238107421958</c:v>
                </c:pt>
                <c:pt idx="2">
                  <c:v>2.0031000663238</c:v>
                </c:pt>
                <c:pt idx="3">
                  <c:v>2.00137820285875</c:v>
                </c:pt>
                <c:pt idx="4">
                  <c:v>2.00077531702272</c:v>
                </c:pt>
                <c:pt idx="5">
                  <c:v>2.00049622597849</c:v>
                </c:pt>
                <c:pt idx="6">
                  <c:v>2.00034461008251</c:v>
                </c:pt>
                <c:pt idx="7">
                  <c:v>2.00025318677579</c:v>
                </c:pt>
                <c:pt idx="8">
                  <c:v>2.00019384804239</c:v>
                </c:pt>
                <c:pt idx="9">
                  <c:v>2.00015316492391</c:v>
                </c:pt>
                <c:pt idx="10">
                  <c:v>2.00012406419011</c:v>
                </c:pt>
                <c:pt idx="11">
                  <c:v>2.00010253275647</c:v>
                </c:pt>
                <c:pt idx="12">
                  <c:v>2.00008615623192</c:v>
                </c:pt>
                <c:pt idx="13">
                  <c:v>2.00007341138313</c:v>
                </c:pt>
                <c:pt idx="14">
                  <c:v>2.00006329869725</c:v>
                </c:pt>
                <c:pt idx="15">
                  <c:v>2.00005514027347</c:v>
                </c:pt>
                <c:pt idx="16">
                  <c:v>2.00004846318491</c:v>
                </c:pt>
                <c:pt idx="17">
                  <c:v>2.00004292936602</c:v>
                </c:pt>
                <c:pt idx="18">
                  <c:v>2.0000382919641</c:v>
                </c:pt>
                <c:pt idx="19">
                  <c:v>2.00003436732544</c:v>
                </c:pt>
              </c:numCache>
            </c:numRef>
          </c:yVal>
          <c:smooth val="1"/>
        </c:ser>
        <c:axId val="44652755"/>
        <c:axId val="49448563"/>
      </c:scatterChart>
      <c:valAx>
        <c:axId val="44652755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49448563"/>
        <c:crosses val="autoZero"/>
        <c:crossBetween val="midCat"/>
      </c:valAx>
      <c:valAx>
        <c:axId val="49448563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44652755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'ukol 1'!$B$1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156082"/>
            </a:solidFill>
            <a:ln w="38160">
              <a:solidFill>
                <a:srgbClr val="156082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81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'ukol 1'!$E$8:$E$27</c:f>
              <c:numCache>
                <c:formatCode>0.000E+00</c:formatCode>
                <c:ptCount val="20"/>
                <c:pt idx="0">
                  <c:v>0</c:v>
                </c:pt>
                <c:pt idx="1">
                  <c:v>0.27227404268244</c:v>
                </c:pt>
                <c:pt idx="2">
                  <c:v>0.136348038238861</c:v>
                </c:pt>
                <c:pt idx="3">
                  <c:v>0.0909247915003637</c:v>
                </c:pt>
                <c:pt idx="4">
                  <c:v>0.0682004473581959</c:v>
                </c:pt>
                <c:pt idx="5">
                  <c:v>0.054562896099086</c:v>
                </c:pt>
                <c:pt idx="6">
                  <c:v>0.0454702291501572</c:v>
                </c:pt>
                <c:pt idx="7">
                  <c:v>0.038975076025489</c:v>
                </c:pt>
                <c:pt idx="8">
                  <c:v>0.0341035288099006</c:v>
                </c:pt>
                <c:pt idx="9">
                  <c:v>0.0303144533840198</c:v>
                </c:pt>
                <c:pt idx="10">
                  <c:v>0.0272831403749216</c:v>
                </c:pt>
                <c:pt idx="11">
                  <c:v>0.0248029438949702</c:v>
                </c:pt>
                <c:pt idx="12">
                  <c:v>0.0227360939609806</c:v>
                </c:pt>
                <c:pt idx="13">
                  <c:v>0.0209872082366344</c:v>
                </c:pt>
                <c:pt idx="14">
                  <c:v>0.0194881547806289</c:v>
                </c:pt>
                <c:pt idx="15">
                  <c:v>0.0181889691943674</c:v>
                </c:pt>
                <c:pt idx="16">
                  <c:v>0.017052177596356</c:v>
                </c:pt>
                <c:pt idx="17">
                  <c:v>0.0160491231282448</c:v>
                </c:pt>
                <c:pt idx="18">
                  <c:v>0.0151575168920001</c:v>
                </c:pt>
                <c:pt idx="19">
                  <c:v>0.0143597622379195</c:v>
                </c:pt>
              </c:numCache>
            </c:numRef>
          </c:yVal>
          <c:smooth val="1"/>
        </c:ser>
        <c:axId val="79817306"/>
        <c:axId val="87501565"/>
      </c:scatterChart>
      <c:valAx>
        <c:axId val="79817306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87501565"/>
        <c:crosses val="autoZero"/>
        <c:crossBetween val="midCat"/>
      </c:valAx>
      <c:valAx>
        <c:axId val="87501565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79817306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'ukol 1'!$B$1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156082"/>
            </a:solidFill>
            <a:ln w="38160">
              <a:solidFill>
                <a:srgbClr val="156082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81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'ukol 1'!$F$8:$F$27</c:f>
              <c:numCache>
                <c:formatCode>0.000E+00</c:formatCode>
                <c:ptCount val="20"/>
                <c:pt idx="0">
                  <c:v>0</c:v>
                </c:pt>
                <c:pt idx="1">
                  <c:v>0.135299445105361</c:v>
                </c:pt>
                <c:pt idx="2">
                  <c:v>0.0680685106706099</c:v>
                </c:pt>
                <c:pt idx="3">
                  <c:v>0.04543108912173</c:v>
                </c:pt>
                <c:pt idx="4">
                  <c:v>0.0340870095597152</c:v>
                </c:pt>
                <c:pt idx="5">
                  <c:v>0.0272746808469474</c:v>
                </c:pt>
                <c:pt idx="6">
                  <c:v>0.0227311978750909</c:v>
                </c:pt>
                <c:pt idx="7">
                  <c:v>0.0194850713315513</c:v>
                </c:pt>
                <c:pt idx="8">
                  <c:v>0.017050111839549</c:v>
                </c:pt>
                <c:pt idx="9">
                  <c:v>0.0151560660031618</c:v>
                </c:pt>
                <c:pt idx="10">
                  <c:v>0.0136407240247715</c:v>
                </c:pt>
                <c:pt idx="11">
                  <c:v>0.0124008362015259</c:v>
                </c:pt>
                <c:pt idx="12">
                  <c:v>0.0113675572875393</c:v>
                </c:pt>
                <c:pt idx="13">
                  <c:v>0.0104932189574586</c:v>
                </c:pt>
                <c:pt idx="14">
                  <c:v>0.00974376900637225</c:v>
                </c:pt>
                <c:pt idx="15">
                  <c:v>0.00909423386791246</c:v>
                </c:pt>
                <c:pt idx="16">
                  <c:v>0.00852588220247515</c:v>
                </c:pt>
                <c:pt idx="17">
                  <c:v>0.00802438932314924</c:v>
                </c:pt>
                <c:pt idx="18">
                  <c:v>0.00757861334600495</c:v>
                </c:pt>
                <c:pt idx="19">
                  <c:v>0.00717975774442426</c:v>
                </c:pt>
              </c:numCache>
            </c:numRef>
          </c:yVal>
          <c:smooth val="1"/>
        </c:ser>
        <c:axId val="7153402"/>
        <c:axId val="37786079"/>
      </c:scatterChart>
      <c:valAx>
        <c:axId val="7153402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37786079"/>
        <c:crosses val="autoZero"/>
        <c:crossBetween val="midCat"/>
      </c:valAx>
      <c:valAx>
        <c:axId val="37786079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7153402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78840</xdr:colOff>
      <xdr:row>1</xdr:row>
      <xdr:rowOff>28440</xdr:rowOff>
    </xdr:from>
    <xdr:to>
      <xdr:col>15</xdr:col>
      <xdr:colOff>78480</xdr:colOff>
      <xdr:row>17</xdr:row>
      <xdr:rowOff>141840</xdr:rowOff>
    </xdr:to>
    <xdr:graphicFrame>
      <xdr:nvGraphicFramePr>
        <xdr:cNvPr id="1" name="Chart"/>
        <xdr:cNvGraphicFramePr/>
      </xdr:nvGraphicFramePr>
      <xdr:xfrm>
        <a:off x="9312480" y="218880"/>
        <a:ext cx="6766200" cy="3187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98640</xdr:colOff>
      <xdr:row>18</xdr:row>
      <xdr:rowOff>10080</xdr:rowOff>
    </xdr:from>
    <xdr:to>
      <xdr:col>15</xdr:col>
      <xdr:colOff>97920</xdr:colOff>
      <xdr:row>34</xdr:row>
      <xdr:rowOff>9720</xdr:rowOff>
    </xdr:to>
    <xdr:graphicFrame>
      <xdr:nvGraphicFramePr>
        <xdr:cNvPr id="2" name="Chart"/>
        <xdr:cNvGraphicFramePr/>
      </xdr:nvGraphicFramePr>
      <xdr:xfrm>
        <a:off x="9332280" y="3465000"/>
        <a:ext cx="6765840" cy="304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49320</xdr:colOff>
      <xdr:row>36</xdr:row>
      <xdr:rowOff>57600</xdr:rowOff>
    </xdr:from>
    <xdr:to>
      <xdr:col>15</xdr:col>
      <xdr:colOff>48600</xdr:colOff>
      <xdr:row>52</xdr:row>
      <xdr:rowOff>57240</xdr:rowOff>
    </xdr:to>
    <xdr:graphicFrame>
      <xdr:nvGraphicFramePr>
        <xdr:cNvPr id="3" name="Chart"/>
        <xdr:cNvGraphicFramePr/>
      </xdr:nvGraphicFramePr>
      <xdr:xfrm>
        <a:off x="9282960" y="6941520"/>
        <a:ext cx="6765840" cy="304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9" activeCellId="0" sqref="B39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20"/>
    <col collapsed="false" customWidth="true" hidden="false" outlineLevel="0" max="4" min="4" style="0" width="36"/>
    <col collapsed="false" customWidth="true" hidden="false" outlineLevel="0" max="6" min="5" style="0" width="18"/>
    <col collapsed="false" customWidth="true" hidden="false" outlineLevel="0" max="7" min="7" style="0" width="3"/>
    <col collapsed="false" customWidth="true" hidden="false" outlineLevel="0" max="15" min="8" style="0" width="12"/>
  </cols>
  <sheetData>
    <row r="2" customFormat="false" ht="15" hidden="false" customHeight="false" outlineLevel="0" collapsed="false">
      <c r="B2" s="1" t="s">
        <v>0</v>
      </c>
      <c r="C2" s="1" t="s">
        <v>1</v>
      </c>
      <c r="D2" s="1"/>
    </row>
    <row r="3" customFormat="false" ht="15" hidden="false" customHeight="false" outlineLevel="0" collapsed="false">
      <c r="B3" s="0" t="s">
        <v>2</v>
      </c>
      <c r="C3" s="2" t="n">
        <v>8</v>
      </c>
    </row>
    <row r="4" customFormat="false" ht="15" hidden="false" customHeight="false" outlineLevel="0" collapsed="false">
      <c r="B4" s="0" t="s">
        <v>3</v>
      </c>
      <c r="C4" s="2" t="n">
        <v>2</v>
      </c>
    </row>
    <row r="5" customFormat="false" ht="15" hidden="false" customHeight="false" outlineLevel="0" collapsed="false">
      <c r="B5" s="0" t="s">
        <v>4</v>
      </c>
      <c r="C5" s="2" t="n">
        <v>7E-005</v>
      </c>
    </row>
    <row r="7" customFormat="false" ht="17.9" hidden="false" customHeight="true" outlineLevel="0" collapsed="false"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</row>
    <row r="8" customFormat="false" ht="14.15" hidden="false" customHeight="true" outlineLevel="0" collapsed="false">
      <c r="B8" s="4" t="n">
        <v>0</v>
      </c>
      <c r="C8" s="5" t="n">
        <f aca="false">2*PI()*B8</f>
        <v>0</v>
      </c>
      <c r="D8" s="5" t="n">
        <f aca="false">$C$4+($C$3-$C$4)/(1+(C8*$C$5)^2)</f>
        <v>8</v>
      </c>
      <c r="E8" s="5" t="n">
        <f aca="false">($C$3-$C$4)*C8*$C$5/(1+(C8*$C$5)^2)</f>
        <v>0</v>
      </c>
      <c r="F8" s="5" t="n">
        <f aca="false">E8/D8</f>
        <v>0</v>
      </c>
    </row>
    <row r="9" customFormat="false" ht="15" hidden="false" customHeight="false" outlineLevel="0" collapsed="false">
      <c r="B9" s="4" t="n">
        <f aca="false">50000</f>
        <v>50000</v>
      </c>
      <c r="C9" s="5" t="n">
        <f aca="false">2*PI()*B9</f>
        <v>314159.265358979</v>
      </c>
      <c r="D9" s="5" t="n">
        <f aca="false">$C$4+($C$3-$C$4)/(1+(C9*$C$5)^2)</f>
        <v>2.01238107421958</v>
      </c>
      <c r="E9" s="5" t="n">
        <f aca="false">($C$3-$C$4)*C9*$C$5/(1+(C9*$C$5)^2)</f>
        <v>0.27227404268244</v>
      </c>
      <c r="F9" s="5" t="n">
        <f aca="false">E9/D9</f>
        <v>0.135299445105361</v>
      </c>
    </row>
    <row r="10" customFormat="false" ht="15" hidden="false" customHeight="false" outlineLevel="0" collapsed="false">
      <c r="B10" s="4" t="n">
        <v>100000</v>
      </c>
      <c r="C10" s="5" t="n">
        <f aca="false">2*PI()*B10</f>
        <v>628318.530717959</v>
      </c>
      <c r="D10" s="5" t="n">
        <f aca="false">$C$4+($C$3-$C$4)/(1+(C10*$C$5)^2)</f>
        <v>2.0031000663238</v>
      </c>
      <c r="E10" s="5" t="n">
        <f aca="false">($C$3-$C$4)*C10*$C$5/(1+(C10*$C$5)^2)</f>
        <v>0.136348038238861</v>
      </c>
      <c r="F10" s="5" t="n">
        <f aca="false">E10/D10</f>
        <v>0.0680685106706099</v>
      </c>
    </row>
    <row r="11" customFormat="false" ht="15" hidden="false" customHeight="false" outlineLevel="0" collapsed="false">
      <c r="B11" s="4" t="n">
        <f aca="false">B10+50000</f>
        <v>150000</v>
      </c>
      <c r="C11" s="5" t="n">
        <f aca="false">2*PI()*B11</f>
        <v>942477.796076938</v>
      </c>
      <c r="D11" s="5" t="n">
        <f aca="false">$C$4+($C$3-$C$4)/(1+(C11*$C$5)^2)</f>
        <v>2.00137820285875</v>
      </c>
      <c r="E11" s="5" t="n">
        <f aca="false">($C$3-$C$4)*C11*$C$5/(1+(C11*$C$5)^2)</f>
        <v>0.0909247915003637</v>
      </c>
      <c r="F11" s="5" t="n">
        <f aca="false">E11/D11</f>
        <v>0.04543108912173</v>
      </c>
    </row>
    <row r="12" customFormat="false" ht="15" hidden="false" customHeight="false" outlineLevel="0" collapsed="false">
      <c r="B12" s="4" t="n">
        <f aca="false">B11+50000</f>
        <v>200000</v>
      </c>
      <c r="C12" s="5" t="n">
        <f aca="false">2*PI()*B12</f>
        <v>1256637.06143592</v>
      </c>
      <c r="D12" s="5" t="n">
        <f aca="false">$C$4+($C$3-$C$4)/(1+(C12*$C$5)^2)</f>
        <v>2.00077531702272</v>
      </c>
      <c r="E12" s="5" t="n">
        <f aca="false">($C$3-$C$4)*C12*$C$5/(1+(C12*$C$5)^2)</f>
        <v>0.0682004473581959</v>
      </c>
      <c r="F12" s="5" t="n">
        <f aca="false">E12/D12</f>
        <v>0.0340870095597152</v>
      </c>
    </row>
    <row r="13" customFormat="false" ht="15" hidden="false" customHeight="false" outlineLevel="0" collapsed="false">
      <c r="B13" s="4" t="n">
        <f aca="false">B12+50000</f>
        <v>250000</v>
      </c>
      <c r="C13" s="5" t="n">
        <f aca="false">2*PI()*B13</f>
        <v>1570796.3267949</v>
      </c>
      <c r="D13" s="5" t="n">
        <f aca="false">$C$4+($C$3-$C$4)/(1+(C13*$C$5)^2)</f>
        <v>2.00049622597849</v>
      </c>
      <c r="E13" s="5" t="n">
        <f aca="false">($C$3-$C$4)*C13*$C$5/(1+(C13*$C$5)^2)</f>
        <v>0.054562896099086</v>
      </c>
      <c r="F13" s="5" t="n">
        <f aca="false">E13/D13</f>
        <v>0.0272746808469474</v>
      </c>
    </row>
    <row r="14" customFormat="false" ht="15" hidden="false" customHeight="false" outlineLevel="0" collapsed="false">
      <c r="B14" s="4" t="n">
        <f aca="false">B13+50000</f>
        <v>300000</v>
      </c>
      <c r="C14" s="5" t="n">
        <f aca="false">2*PI()*B14</f>
        <v>1884955.59215388</v>
      </c>
      <c r="D14" s="5" t="n">
        <f aca="false">$C$4+($C$3-$C$4)/(1+(C14*$C$5)^2)</f>
        <v>2.00034461008251</v>
      </c>
      <c r="E14" s="5" t="n">
        <f aca="false">($C$3-$C$4)*C14*$C$5/(1+(C14*$C$5)^2)</f>
        <v>0.0454702291501572</v>
      </c>
      <c r="F14" s="5" t="n">
        <f aca="false">E14/D14</f>
        <v>0.0227311978750909</v>
      </c>
    </row>
    <row r="15" customFormat="false" ht="15" hidden="false" customHeight="false" outlineLevel="0" collapsed="false">
      <c r="B15" s="4" t="n">
        <f aca="false">B14+50000</f>
        <v>350000</v>
      </c>
      <c r="C15" s="5" t="n">
        <f aca="false">2*PI()*B15</f>
        <v>2199114.85751286</v>
      </c>
      <c r="D15" s="5" t="n">
        <f aca="false">$C$4+($C$3-$C$4)/(1+(C15*$C$5)^2)</f>
        <v>2.00025318677579</v>
      </c>
      <c r="E15" s="5" t="n">
        <f aca="false">($C$3-$C$4)*C15*$C$5/(1+(C15*$C$5)^2)</f>
        <v>0.038975076025489</v>
      </c>
      <c r="F15" s="5" t="n">
        <f aca="false">E15/D15</f>
        <v>0.0194850713315513</v>
      </c>
    </row>
    <row r="16" customFormat="false" ht="15" hidden="false" customHeight="false" outlineLevel="0" collapsed="false">
      <c r="B16" s="4" t="n">
        <f aca="false">B15+50000</f>
        <v>400000</v>
      </c>
      <c r="C16" s="5" t="n">
        <f aca="false">2*PI()*B16</f>
        <v>2513274.12287183</v>
      </c>
      <c r="D16" s="5" t="n">
        <f aca="false">$C$4+($C$3-$C$4)/(1+(C16*$C$5)^2)</f>
        <v>2.00019384804239</v>
      </c>
      <c r="E16" s="5" t="n">
        <f aca="false">($C$3-$C$4)*C16*$C$5/(1+(C16*$C$5)^2)</f>
        <v>0.0341035288099006</v>
      </c>
      <c r="F16" s="5" t="n">
        <f aca="false">E16/D16</f>
        <v>0.017050111839549</v>
      </c>
    </row>
    <row r="17" customFormat="false" ht="15" hidden="false" customHeight="false" outlineLevel="0" collapsed="false">
      <c r="B17" s="4" t="n">
        <f aca="false">B16+50000</f>
        <v>450000</v>
      </c>
      <c r="C17" s="5" t="n">
        <f aca="false">2*PI()*B17</f>
        <v>2827433.38823081</v>
      </c>
      <c r="D17" s="5" t="n">
        <f aca="false">$C$4+($C$3-$C$4)/(1+(C17*$C$5)^2)</f>
        <v>2.00015316492391</v>
      </c>
      <c r="E17" s="5" t="n">
        <f aca="false">($C$3-$C$4)*C17*$C$5/(1+(C17*$C$5)^2)</f>
        <v>0.0303144533840198</v>
      </c>
      <c r="F17" s="5" t="n">
        <f aca="false">E17/D17</f>
        <v>0.0151560660031618</v>
      </c>
    </row>
    <row r="18" customFormat="false" ht="15" hidden="false" customHeight="false" outlineLevel="0" collapsed="false">
      <c r="B18" s="4" t="n">
        <f aca="false">B17+50000</f>
        <v>500000</v>
      </c>
      <c r="C18" s="5" t="n">
        <f aca="false">2*PI()*B18</f>
        <v>3141592.65358979</v>
      </c>
      <c r="D18" s="5" t="n">
        <f aca="false">$C$4+($C$3-$C$4)/(1+(C18*$C$5)^2)</f>
        <v>2.00012406419011</v>
      </c>
      <c r="E18" s="5" t="n">
        <f aca="false">($C$3-$C$4)*C18*$C$5/(1+(C18*$C$5)^2)</f>
        <v>0.0272831403749216</v>
      </c>
      <c r="F18" s="5" t="n">
        <f aca="false">E18/D18</f>
        <v>0.0136407240247715</v>
      </c>
    </row>
    <row r="19" customFormat="false" ht="15" hidden="false" customHeight="false" outlineLevel="0" collapsed="false">
      <c r="B19" s="4" t="n">
        <f aca="false">B18+50000</f>
        <v>550000</v>
      </c>
      <c r="C19" s="5" t="n">
        <f aca="false">2*PI()*B19</f>
        <v>3455751.91894877</v>
      </c>
      <c r="D19" s="5" t="n">
        <f aca="false">$C$4+($C$3-$C$4)/(1+(C19*$C$5)^2)</f>
        <v>2.00010253275647</v>
      </c>
      <c r="E19" s="5" t="n">
        <f aca="false">($C$3-$C$4)*C19*$C$5/(1+(C19*$C$5)^2)</f>
        <v>0.0248029438949702</v>
      </c>
      <c r="F19" s="5" t="n">
        <f aca="false">E19/D19</f>
        <v>0.0124008362015259</v>
      </c>
    </row>
    <row r="20" customFormat="false" ht="15" hidden="false" customHeight="false" outlineLevel="0" collapsed="false">
      <c r="B20" s="4" t="n">
        <f aca="false">B19+50000</f>
        <v>600000</v>
      </c>
      <c r="C20" s="5" t="n">
        <f aca="false">2*PI()*B20</f>
        <v>3769911.18430775</v>
      </c>
      <c r="D20" s="5" t="n">
        <f aca="false">$C$4+($C$3-$C$4)/(1+(C20*$C$5)^2)</f>
        <v>2.00008615623192</v>
      </c>
      <c r="E20" s="5" t="n">
        <f aca="false">($C$3-$C$4)*C20*$C$5/(1+(C20*$C$5)^2)</f>
        <v>0.0227360939609806</v>
      </c>
      <c r="F20" s="5" t="n">
        <f aca="false">E20/D20</f>
        <v>0.0113675572875393</v>
      </c>
    </row>
    <row r="21" customFormat="false" ht="15" hidden="false" customHeight="false" outlineLevel="0" collapsed="false">
      <c r="B21" s="4" t="n">
        <f aca="false">B20+50000</f>
        <v>650000</v>
      </c>
      <c r="C21" s="5" t="n">
        <f aca="false">2*PI()*B21</f>
        <v>4084070.44966673</v>
      </c>
      <c r="D21" s="5" t="n">
        <f aca="false">$C$4+($C$3-$C$4)/(1+(C21*$C$5)^2)</f>
        <v>2.00007341138313</v>
      </c>
      <c r="E21" s="5" t="n">
        <f aca="false">($C$3-$C$4)*C21*$C$5/(1+(C21*$C$5)^2)</f>
        <v>0.0209872082366344</v>
      </c>
      <c r="F21" s="5" t="n">
        <f aca="false">E21/D21</f>
        <v>0.0104932189574586</v>
      </c>
    </row>
    <row r="22" customFormat="false" ht="15" hidden="false" customHeight="false" outlineLevel="0" collapsed="false">
      <c r="B22" s="4" t="n">
        <f aca="false">B21+50000</f>
        <v>700000</v>
      </c>
      <c r="C22" s="5" t="n">
        <f aca="false">2*PI()*B22</f>
        <v>4398229.71502571</v>
      </c>
      <c r="D22" s="5" t="n">
        <f aca="false">$C$4+($C$3-$C$4)/(1+(C22*$C$5)^2)</f>
        <v>2.00006329869725</v>
      </c>
      <c r="E22" s="5" t="n">
        <f aca="false">($C$3-$C$4)*C22*$C$5/(1+(C22*$C$5)^2)</f>
        <v>0.0194881547806289</v>
      </c>
      <c r="F22" s="5" t="n">
        <f aca="false">E22/D22</f>
        <v>0.00974376900637225</v>
      </c>
    </row>
    <row r="23" customFormat="false" ht="15" hidden="false" customHeight="false" outlineLevel="0" collapsed="false">
      <c r="B23" s="4" t="n">
        <f aca="false">B22+50000</f>
        <v>750000</v>
      </c>
      <c r="C23" s="5" t="n">
        <f aca="false">2*PI()*B23</f>
        <v>4712388.98038469</v>
      </c>
      <c r="D23" s="5" t="n">
        <f aca="false">$C$4+($C$3-$C$4)/(1+(C23*$C$5)^2)</f>
        <v>2.00005514027347</v>
      </c>
      <c r="E23" s="5" t="n">
        <f aca="false">($C$3-$C$4)*C23*$C$5/(1+(C23*$C$5)^2)</f>
        <v>0.0181889691943674</v>
      </c>
      <c r="F23" s="5" t="n">
        <f aca="false">E23/D23</f>
        <v>0.00909423386791246</v>
      </c>
    </row>
    <row r="24" customFormat="false" ht="15" hidden="false" customHeight="false" outlineLevel="0" collapsed="false">
      <c r="B24" s="4" t="n">
        <f aca="false">B23+50000</f>
        <v>800000</v>
      </c>
      <c r="C24" s="5" t="n">
        <f aca="false">2*PI()*B24</f>
        <v>5026548.24574367</v>
      </c>
      <c r="D24" s="5" t="n">
        <f aca="false">$C$4+($C$3-$C$4)/(1+(C24*$C$5)^2)</f>
        <v>2.00004846318491</v>
      </c>
      <c r="E24" s="5" t="n">
        <f aca="false">($C$3-$C$4)*C24*$C$5/(1+(C24*$C$5)^2)</f>
        <v>0.017052177596356</v>
      </c>
      <c r="F24" s="5" t="n">
        <f aca="false">E24/D24</f>
        <v>0.00852588220247515</v>
      </c>
    </row>
    <row r="25" customFormat="false" ht="15" hidden="false" customHeight="false" outlineLevel="0" collapsed="false">
      <c r="B25" s="4" t="n">
        <f aca="false">B24+50000</f>
        <v>850000</v>
      </c>
      <c r="C25" s="5" t="n">
        <f aca="false">2*PI()*B25</f>
        <v>5340707.51110265</v>
      </c>
      <c r="D25" s="5" t="n">
        <f aca="false">$C$4+($C$3-$C$4)/(1+(C25*$C$5)^2)</f>
        <v>2.00004292936602</v>
      </c>
      <c r="E25" s="5" t="n">
        <f aca="false">($C$3-$C$4)*C25*$C$5/(1+(C25*$C$5)^2)</f>
        <v>0.0160491231282448</v>
      </c>
      <c r="F25" s="5" t="n">
        <f aca="false">E25/D25</f>
        <v>0.00802438932314924</v>
      </c>
    </row>
    <row r="26" customFormat="false" ht="15" hidden="false" customHeight="false" outlineLevel="0" collapsed="false">
      <c r="B26" s="4" t="n">
        <f aca="false">B25+50000</f>
        <v>900000</v>
      </c>
      <c r="C26" s="5" t="n">
        <f aca="false">2*PI()*B26</f>
        <v>5654866.77646163</v>
      </c>
      <c r="D26" s="5" t="n">
        <f aca="false">$C$4+($C$3-$C$4)/(1+(C26*$C$5)^2)</f>
        <v>2.0000382919641</v>
      </c>
      <c r="E26" s="5" t="n">
        <f aca="false">($C$3-$C$4)*C26*$C$5/(1+(C26*$C$5)^2)</f>
        <v>0.0151575168920001</v>
      </c>
      <c r="F26" s="5" t="n">
        <f aca="false">E26/D26</f>
        <v>0.00757861334600495</v>
      </c>
    </row>
    <row r="27" customFormat="false" ht="15" hidden="false" customHeight="false" outlineLevel="0" collapsed="false">
      <c r="B27" s="4" t="n">
        <f aca="false">B26+50000</f>
        <v>950000</v>
      </c>
      <c r="C27" s="5" t="n">
        <f aca="false">2*PI()*B27</f>
        <v>5969026.04182061</v>
      </c>
      <c r="D27" s="5" t="n">
        <f aca="false">$C$4+($C$3-$C$4)/(1+(C27*$C$5)^2)</f>
        <v>2.00003436732544</v>
      </c>
      <c r="E27" s="5" t="n">
        <f aca="false">($C$3-$C$4)*C27*$C$5/(1+(C27*$C$5)^2)</f>
        <v>0.0143597622379195</v>
      </c>
      <c r="F27" s="5" t="n">
        <f aca="false">E27/D27</f>
        <v>0.00717975774442426</v>
      </c>
    </row>
    <row r="28" customFormat="false" ht="15" hidden="false" customHeight="false" outlineLevel="0" collapsed="false">
      <c r="B28" s="4" t="n">
        <f aca="false">B27+50000</f>
        <v>1000000</v>
      </c>
      <c r="C28" s="5" t="n">
        <f aca="false">2*PI()*B28</f>
        <v>6283185.30717959</v>
      </c>
      <c r="D28" s="5" t="n">
        <f aca="false">$C$4+($C$3-$C$4)/(1+(C28*$C$5)^2)</f>
        <v>2.00003101652853</v>
      </c>
      <c r="E28" s="5" t="n">
        <f aca="false">($C$3-$C$4)*C28*$C$5/(1+(C28*$C$5)^2)</f>
        <v>0.0136417817445363</v>
      </c>
      <c r="F28" s="5" t="n">
        <f aca="false">E28/D28</f>
        <v>0.0068207850937304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cs-CZ</dc:language>
  <cp:lastModifiedBy/>
  <dcterms:modified xsi:type="dcterms:W3CDTF">2026-10-14T15:42:43Z</dcterms:modified>
  <cp:revision>1</cp:revision>
  <dc:subject/>
  <dc:title/>
</cp:coreProperties>
</file>
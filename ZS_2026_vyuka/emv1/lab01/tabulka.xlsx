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xr:revisionPtr revIDLastSave="0" documentId="13_ncr:1_{8CC9C656-1345-4393-B06D-2479DA5FCB3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ukol 1" sheetId="1" r:id="rId1"/>
    <sheet name="Lis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39" i="2" l="1"/>
  <c r="C38" i="2"/>
  <c r="H38" i="2" s="1"/>
  <c r="C36" i="2"/>
  <c r="H36" i="2" s="1"/>
  <c r="C35" i="2"/>
  <c r="H35" i="2" s="1"/>
  <c r="H5" i="2"/>
  <c r="G5" i="2"/>
  <c r="E5" i="2"/>
  <c r="D5" i="2"/>
  <c r="F5" i="2" s="1"/>
  <c r="C5" i="2"/>
  <c r="B9" i="2"/>
  <c r="B12" i="2" s="1"/>
  <c r="B8" i="2"/>
  <c r="B7" i="2"/>
  <c r="B10" i="2" s="1"/>
  <c r="C6" i="2"/>
  <c r="G6" i="2" s="1"/>
  <c r="E29" i="1"/>
  <c r="D29" i="1"/>
  <c r="C29" i="1"/>
  <c r="B29" i="1"/>
  <c r="B12" i="1"/>
  <c r="B13" i="1"/>
  <c r="B16" i="1" s="1"/>
  <c r="B19" i="1" s="1"/>
  <c r="B22" i="1" s="1"/>
  <c r="B25" i="1" s="1"/>
  <c r="B28" i="1" s="1"/>
  <c r="B14" i="1"/>
  <c r="B15" i="1"/>
  <c r="B18" i="1" s="1"/>
  <c r="B21" i="1" s="1"/>
  <c r="B24" i="1" s="1"/>
  <c r="B27" i="1" s="1"/>
  <c r="B17" i="1"/>
  <c r="B20" i="1" s="1"/>
  <c r="B23" i="1" s="1"/>
  <c r="B26" i="1" s="1"/>
  <c r="B11" i="1"/>
  <c r="B10" i="1"/>
  <c r="B9" i="1"/>
  <c r="C9" i="1"/>
  <c r="D9" i="1" s="1"/>
  <c r="C8" i="1"/>
  <c r="E8" i="1" s="1"/>
  <c r="G35" i="2" l="1"/>
  <c r="C37" i="2"/>
  <c r="C39" i="2"/>
  <c r="G36" i="2"/>
  <c r="G38" i="2"/>
  <c r="C41" i="2"/>
  <c r="H6" i="2"/>
  <c r="E6" i="2"/>
  <c r="D6" i="2"/>
  <c r="C7" i="2"/>
  <c r="C9" i="2"/>
  <c r="B11" i="2"/>
  <c r="C8" i="2"/>
  <c r="B13" i="2"/>
  <c r="C10" i="2"/>
  <c r="B15" i="2"/>
  <c r="C12" i="2"/>
  <c r="F29" i="1"/>
  <c r="C11" i="1"/>
  <c r="E11" i="1" s="1"/>
  <c r="C10" i="1"/>
  <c r="E10" i="1" s="1"/>
  <c r="D11" i="1"/>
  <c r="E9" i="1"/>
  <c r="D8" i="1"/>
  <c r="F8" i="1" s="1"/>
  <c r="C44" i="2" l="1"/>
  <c r="D36" i="2"/>
  <c r="E36" i="2"/>
  <c r="C42" i="2"/>
  <c r="C40" i="2"/>
  <c r="G41" i="2"/>
  <c r="H41" i="2"/>
  <c r="D38" i="2"/>
  <c r="E38" i="2"/>
  <c r="G39" i="2"/>
  <c r="H39" i="2"/>
  <c r="G37" i="2"/>
  <c r="H37" i="2"/>
  <c r="D35" i="2"/>
  <c r="E35" i="2"/>
  <c r="G7" i="2"/>
  <c r="H7" i="2"/>
  <c r="G12" i="2"/>
  <c r="H12" i="2"/>
  <c r="G10" i="2"/>
  <c r="H10" i="2"/>
  <c r="G8" i="2"/>
  <c r="H8" i="2"/>
  <c r="G9" i="2"/>
  <c r="H9" i="2"/>
  <c r="F6" i="2"/>
  <c r="B16" i="2"/>
  <c r="C13" i="2"/>
  <c r="C11" i="2"/>
  <c r="B14" i="2"/>
  <c r="B18" i="2"/>
  <c r="C15" i="2"/>
  <c r="F11" i="1"/>
  <c r="C12" i="1"/>
  <c r="E12" i="1" s="1"/>
  <c r="C13" i="1"/>
  <c r="E13" i="1" s="1"/>
  <c r="D10" i="1"/>
  <c r="F10" i="1" s="1"/>
  <c r="D13" i="1"/>
  <c r="F9" i="1"/>
  <c r="C14" i="1"/>
  <c r="E37" i="2" l="1"/>
  <c r="D37" i="2"/>
  <c r="E39" i="2"/>
  <c r="D39" i="2"/>
  <c r="E41" i="2"/>
  <c r="D41" i="2"/>
  <c r="C43" i="2"/>
  <c r="C45" i="2"/>
  <c r="C47" i="2"/>
  <c r="F35" i="2"/>
  <c r="F38" i="2"/>
  <c r="H40" i="2"/>
  <c r="G40" i="2"/>
  <c r="H42" i="2"/>
  <c r="G42" i="2"/>
  <c r="F36" i="2"/>
  <c r="H44" i="2"/>
  <c r="G44" i="2"/>
  <c r="E9" i="2"/>
  <c r="D10" i="2"/>
  <c r="D7" i="2"/>
  <c r="G13" i="2"/>
  <c r="H13" i="2"/>
  <c r="G15" i="2"/>
  <c r="H15" i="2"/>
  <c r="G11" i="2"/>
  <c r="H11" i="2"/>
  <c r="D9" i="2"/>
  <c r="F9" i="2" s="1"/>
  <c r="D8" i="2"/>
  <c r="E8" i="2"/>
  <c r="F8" i="2" s="1"/>
  <c r="E10" i="2"/>
  <c r="E12" i="2"/>
  <c r="D12" i="2"/>
  <c r="E7" i="2"/>
  <c r="F7" i="2" s="1"/>
  <c r="B21" i="2"/>
  <c r="C18" i="2"/>
  <c r="B19" i="2"/>
  <c r="C16" i="2"/>
  <c r="B17" i="2"/>
  <c r="C14" i="2"/>
  <c r="D12" i="1"/>
  <c r="F12" i="1" s="1"/>
  <c r="F13" i="1"/>
  <c r="E14" i="1"/>
  <c r="D14" i="1"/>
  <c r="C15" i="1"/>
  <c r="D42" i="2" l="1"/>
  <c r="E42" i="2"/>
  <c r="D40" i="2"/>
  <c r="E40" i="2"/>
  <c r="G47" i="2"/>
  <c r="H47" i="2"/>
  <c r="G45" i="2"/>
  <c r="H45" i="2"/>
  <c r="G43" i="2"/>
  <c r="H43" i="2"/>
  <c r="D44" i="2"/>
  <c r="E44" i="2"/>
  <c r="C50" i="2"/>
  <c r="C48" i="2"/>
  <c r="C46" i="2"/>
  <c r="F41" i="2"/>
  <c r="F39" i="2"/>
  <c r="F37" i="2"/>
  <c r="F10" i="2"/>
  <c r="D11" i="2"/>
  <c r="D15" i="2"/>
  <c r="E13" i="2"/>
  <c r="G14" i="2"/>
  <c r="H14" i="2"/>
  <c r="D14" i="2" s="1"/>
  <c r="G16" i="2"/>
  <c r="H16" i="2"/>
  <c r="G18" i="2"/>
  <c r="H18" i="2"/>
  <c r="D18" i="2" s="1"/>
  <c r="F12" i="2"/>
  <c r="E11" i="2"/>
  <c r="F11" i="2" s="1"/>
  <c r="E15" i="2"/>
  <c r="D13" i="2"/>
  <c r="F13" i="2" s="1"/>
  <c r="B20" i="2"/>
  <c r="C17" i="2"/>
  <c r="F15" i="2"/>
  <c r="B22" i="2"/>
  <c r="C19" i="2"/>
  <c r="B24" i="2"/>
  <c r="C21" i="2"/>
  <c r="D15" i="1"/>
  <c r="E15" i="1"/>
  <c r="F14" i="1"/>
  <c r="C16" i="1"/>
  <c r="C49" i="2" l="1"/>
  <c r="C51" i="2"/>
  <c r="C53" i="2"/>
  <c r="E43" i="2"/>
  <c r="D43" i="2"/>
  <c r="E45" i="2"/>
  <c r="D45" i="2"/>
  <c r="E47" i="2"/>
  <c r="D47" i="2"/>
  <c r="H46" i="2"/>
  <c r="G46" i="2"/>
  <c r="H48" i="2"/>
  <c r="G48" i="2"/>
  <c r="H50" i="2"/>
  <c r="G50" i="2"/>
  <c r="F44" i="2"/>
  <c r="F40" i="2"/>
  <c r="F42" i="2"/>
  <c r="G17" i="2"/>
  <c r="H17" i="2"/>
  <c r="G21" i="2"/>
  <c r="H21" i="2"/>
  <c r="G19" i="2"/>
  <c r="H19" i="2"/>
  <c r="E18" i="2"/>
  <c r="D16" i="2"/>
  <c r="E16" i="2"/>
  <c r="E14" i="2"/>
  <c r="F14" i="2" s="1"/>
  <c r="B27" i="2"/>
  <c r="C27" i="2" s="1"/>
  <c r="C24" i="2"/>
  <c r="B25" i="2"/>
  <c r="C25" i="2" s="1"/>
  <c r="C22" i="2"/>
  <c r="B23" i="2"/>
  <c r="C20" i="2"/>
  <c r="F18" i="2"/>
  <c r="F15" i="1"/>
  <c r="E16" i="1"/>
  <c r="D16" i="1"/>
  <c r="C17" i="1"/>
  <c r="D50" i="2" l="1"/>
  <c r="E50" i="2"/>
  <c r="D48" i="2"/>
  <c r="E48" i="2"/>
  <c r="D46" i="2"/>
  <c r="E46" i="2"/>
  <c r="G53" i="2"/>
  <c r="H53" i="2"/>
  <c r="G51" i="2"/>
  <c r="H51" i="2"/>
  <c r="G49" i="2"/>
  <c r="H49" i="2"/>
  <c r="F47" i="2"/>
  <c r="F45" i="2"/>
  <c r="F43" i="2"/>
  <c r="C54" i="2"/>
  <c r="C52" i="2"/>
  <c r="F16" i="2"/>
  <c r="D19" i="2"/>
  <c r="E21" i="2"/>
  <c r="E17" i="2"/>
  <c r="F17" i="2" s="1"/>
  <c r="G25" i="2"/>
  <c r="H25" i="2"/>
  <c r="G27" i="2"/>
  <c r="H27" i="2"/>
  <c r="G20" i="2"/>
  <c r="H20" i="2"/>
  <c r="G22" i="2"/>
  <c r="H22" i="2"/>
  <c r="G24" i="2"/>
  <c r="H24" i="2"/>
  <c r="E19" i="2"/>
  <c r="D21" i="2"/>
  <c r="D17" i="2"/>
  <c r="F21" i="2"/>
  <c r="B26" i="2"/>
  <c r="C26" i="2" s="1"/>
  <c r="C23" i="2"/>
  <c r="D17" i="1"/>
  <c r="E17" i="1"/>
  <c r="F16" i="1"/>
  <c r="C18" i="1"/>
  <c r="H52" i="2" l="1"/>
  <c r="G52" i="2"/>
  <c r="H54" i="2"/>
  <c r="G54" i="2"/>
  <c r="E49" i="2"/>
  <c r="D49" i="2"/>
  <c r="E51" i="2"/>
  <c r="D51" i="2"/>
  <c r="E53" i="2"/>
  <c r="D53" i="2"/>
  <c r="F46" i="2"/>
  <c r="F48" i="2"/>
  <c r="F50" i="2"/>
  <c r="F19" i="2"/>
  <c r="D22" i="2"/>
  <c r="D27" i="2"/>
  <c r="F27" i="2" s="1"/>
  <c r="E25" i="2"/>
  <c r="G26" i="2"/>
  <c r="H26" i="2"/>
  <c r="G23" i="2"/>
  <c r="H23" i="2"/>
  <c r="D24" i="2"/>
  <c r="E24" i="2"/>
  <c r="E22" i="2"/>
  <c r="E20" i="2"/>
  <c r="D20" i="2"/>
  <c r="E27" i="2"/>
  <c r="D25" i="2"/>
  <c r="F17" i="1"/>
  <c r="E18" i="1"/>
  <c r="D18" i="1"/>
  <c r="C19" i="1"/>
  <c r="D54" i="2" l="1"/>
  <c r="E54" i="2"/>
  <c r="D52" i="2"/>
  <c r="E52" i="2"/>
  <c r="F53" i="2"/>
  <c r="F51" i="2"/>
  <c r="F49" i="2"/>
  <c r="F20" i="2"/>
  <c r="F24" i="2"/>
  <c r="D23" i="2"/>
  <c r="D26" i="2"/>
  <c r="F25" i="2"/>
  <c r="F22" i="2"/>
  <c r="E23" i="2"/>
  <c r="E26" i="2"/>
  <c r="F26" i="2" s="1"/>
  <c r="F23" i="2"/>
  <c r="D19" i="1"/>
  <c r="E19" i="1"/>
  <c r="F18" i="1"/>
  <c r="C20" i="1"/>
  <c r="F52" i="2" l="1"/>
  <c r="F54" i="2"/>
  <c r="F19" i="1"/>
  <c r="E20" i="1"/>
  <c r="D20" i="1"/>
  <c r="C21" i="1"/>
  <c r="D21" i="1" l="1"/>
  <c r="E21" i="1"/>
  <c r="F20" i="1"/>
  <c r="C22" i="1"/>
  <c r="F21" i="1" l="1"/>
  <c r="E22" i="1"/>
  <c r="D22" i="1"/>
  <c r="C23" i="1"/>
  <c r="D23" i="1" l="1"/>
  <c r="E23" i="1"/>
  <c r="F22" i="1"/>
  <c r="C24" i="1"/>
  <c r="E24" i="1" l="1"/>
  <c r="D24" i="1"/>
  <c r="C25" i="1"/>
  <c r="F23" i="1"/>
  <c r="D25" i="1" l="1"/>
  <c r="E25" i="1"/>
  <c r="F24" i="1"/>
  <c r="C26" i="1"/>
  <c r="E26" i="1" l="1"/>
  <c r="D26" i="1"/>
  <c r="C28" i="1"/>
  <c r="C27" i="1"/>
  <c r="F25" i="1"/>
  <c r="E28" i="1" l="1"/>
  <c r="D28" i="1"/>
  <c r="D27" i="1"/>
  <c r="E27" i="1"/>
  <c r="F26" i="1"/>
  <c r="F28" i="1" l="1"/>
  <c r="F27" i="1"/>
</calcChain>
</file>

<file path=xl/sharedStrings.xml><?xml version="1.0" encoding="utf-8"?>
<sst xmlns="http://schemas.openxmlformats.org/spreadsheetml/2006/main" count="33" uniqueCount="19">
  <si>
    <t>Parametr</t>
  </si>
  <si>
    <t>Hodnota</t>
  </si>
  <si>
    <t>εs [–]</t>
  </si>
  <si>
    <t>ε∞ [–]</t>
  </si>
  <si>
    <t>τ [s]</t>
  </si>
  <si>
    <t>f [Hz]</t>
  </si>
  <si>
    <t>ω [rad/s]</t>
  </si>
  <si>
    <t>ε′ [–]</t>
  </si>
  <si>
    <t>ε″ [–]</t>
  </si>
  <si>
    <t>tg δ [–]</t>
  </si>
  <si>
    <t>první</t>
  </si>
  <si>
    <t>druhy</t>
  </si>
  <si>
    <t>alpha</t>
  </si>
  <si>
    <t>beta</t>
  </si>
  <si>
    <t>e nek</t>
  </si>
  <si>
    <t>e s</t>
  </si>
  <si>
    <t>r</t>
  </si>
  <si>
    <t>tau 0</t>
  </si>
  <si>
    <t>theta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</si>
</sst>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71" formatCode="0.00000"/>
  </numFmts>
  <fonts count="4" x14ac:knownFonts="1">
    <font>
      <sz val="10"/>
      <name val="Arial"/>
      <family val="2"/>
    </font>
    <font>
      <sz val="11"/>
      <name val="Calibri"/>
      <charset val="1"/>
    </font>
    <font>
      <b/>
      <sz val="11"/>
      <name val="Calibri"/>
      <charset val="1"/>
    </font>
    <font>
      <b/>
      <sz val="11"/>
      <color rgb="FFFFFFFF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DCE7F1"/>
        <bgColor rgb="FFD9D9D9"/>
      </patternFill>
    </fill>
    <fill>
      <patternFill patternType="solid">
        <fgColor rgb="FFFFF2AB"/>
        <bgColor rgb="FFFFFFCC"/>
      </patternFill>
    </fill>
    <fill>
      <patternFill patternType="solid">
        <fgColor rgb="FF17324D"/>
        <bgColor rgb="FF333333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2" borderId="0" xfId="1" applyFont="1" applyFill="1" applyBorder="1"/>
    <xf numFmtId="0" fontId="1" fillId="3" borderId="0" xfId="1" applyFont="1" applyFill="1" applyBorder="1"/>
    <xf numFmtId="0" fontId="3" fillId="4" borderId="0" xfId="1" applyFont="1" applyFill="1" applyBorder="1"/>
    <xf numFmtId="2" fontId="1" fillId="0" borderId="0" xfId="1" applyNumberFormat="1" applyFont="1" applyBorder="1"/>
    <xf numFmtId="164" fontId="1" fillId="0" borderId="0" xfId="1" applyNumberFormat="1" applyFont="1" applyBorder="1"/>
    <xf numFmtId="0" fontId="0" fillId="5" borderId="0" xfId="0" applyFill="1"/>
    <xf numFmtId="11" fontId="0" fillId="5" borderId="0" xfId="0" applyNumberFormat="1" applyFill="1"/>
    <xf numFmtId="171" fontId="1" fillId="0" borderId="0" xfId="1" applyNumberFormat="1" applyFont="1" applyBorder="1"/>
  </cellXfs>
  <cellStyles count="2">
    <cellStyle name="Normal" xfId="1" xr:uid="{00000000-0005-0000-0000-000006000000}"/>
    <cellStyle name="Normální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DCE7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'ukol 1'!$D$7</c:f>
              <c:strCache>
                <c:ptCount val="1"/>
                <c:pt idx="0">
                  <c:v>ε′ [–]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'ukol 1'!$C$8:$C$29</c:f>
              <c:numCache>
                <c:formatCode>0.000E+00</c:formatCode>
                <c:ptCount val="22"/>
                <c:pt idx="0">
                  <c:v>6.2831853071795862</c:v>
                </c:pt>
                <c:pt idx="1">
                  <c:v>12.566370614359172</c:v>
                </c:pt>
                <c:pt idx="2">
                  <c:v>31.415926535897931</c:v>
                </c:pt>
                <c:pt idx="3">
                  <c:v>62.831853071795862</c:v>
                </c:pt>
                <c:pt idx="4">
                  <c:v>125.66370614359172</c:v>
                </c:pt>
                <c:pt idx="5">
                  <c:v>314.15926535897933</c:v>
                </c:pt>
                <c:pt idx="6">
                  <c:v>628.31853071795865</c:v>
                </c:pt>
                <c:pt idx="7">
                  <c:v>1256.6370614359173</c:v>
                </c:pt>
                <c:pt idx="8">
                  <c:v>3141.5926535897929</c:v>
                </c:pt>
                <c:pt idx="9">
                  <c:v>6283.1853071795858</c:v>
                </c:pt>
                <c:pt idx="10">
                  <c:v>12566.370614359172</c:v>
                </c:pt>
                <c:pt idx="11">
                  <c:v>31415.926535897932</c:v>
                </c:pt>
                <c:pt idx="12">
                  <c:v>62831.853071795864</c:v>
                </c:pt>
                <c:pt idx="13">
                  <c:v>125663.70614359173</c:v>
                </c:pt>
                <c:pt idx="14">
                  <c:v>314159.26535897929</c:v>
                </c:pt>
                <c:pt idx="15">
                  <c:v>628318.53071795858</c:v>
                </c:pt>
                <c:pt idx="16">
                  <c:v>1256637.0614359172</c:v>
                </c:pt>
                <c:pt idx="17">
                  <c:v>3141592.653589793</c:v>
                </c:pt>
                <c:pt idx="18">
                  <c:v>6283185.307179586</c:v>
                </c:pt>
                <c:pt idx="19">
                  <c:v>12566370.614359172</c:v>
                </c:pt>
                <c:pt idx="20">
                  <c:v>31415926.535897933</c:v>
                </c:pt>
                <c:pt idx="21">
                  <c:v>62831853.071795866</c:v>
                </c:pt>
              </c:numCache>
            </c:numRef>
          </c:xVal>
          <c:yVal>
            <c:numRef>
              <c:f>'ukol 1'!$D$8:$D$29</c:f>
              <c:numCache>
                <c:formatCode>0.000E+00</c:formatCode>
                <c:ptCount val="22"/>
                <c:pt idx="0">
                  <c:v>59.999997027472709</c:v>
                </c:pt>
                <c:pt idx="1">
                  <c:v>59.999988109892755</c:v>
                </c:pt>
                <c:pt idx="2">
                  <c:v>59.999925686914068</c:v>
                </c:pt>
                <c:pt idx="3">
                  <c:v>59.999702748861168</c:v>
                </c:pt>
                <c:pt idx="4">
                  <c:v>59.998811014722534</c:v>
                </c:pt>
                <c:pt idx="5">
                  <c:v>59.992569685312304</c:v>
                </c:pt>
                <c:pt idx="6">
                  <c:v>59.970290782094956</c:v>
                </c:pt>
                <c:pt idx="7">
                  <c:v>59.881355392298182</c:v>
                </c:pt>
                <c:pt idx="8">
                  <c:v>59.266775096417717</c:v>
                </c:pt>
                <c:pt idx="9">
                  <c:v>57.179888179367659</c:v>
                </c:pt>
                <c:pt idx="10">
                  <c:v>50.223427026924057</c:v>
                </c:pt>
                <c:pt idx="11">
                  <c:v>28.392819291399821</c:v>
                </c:pt>
                <c:pt idx="12">
                  <c:v>13.587583886612698</c:v>
                </c:pt>
                <c:pt idx="13">
                  <c:v>7.4316505603319882</c:v>
                </c:pt>
                <c:pt idx="14">
                  <c:v>5.4040704314056747</c:v>
                </c:pt>
                <c:pt idx="15">
                  <c:v>5.1015773040112302</c:v>
                </c:pt>
                <c:pt idx="16">
                  <c:v>5.0254295496177033</c:v>
                </c:pt>
                <c:pt idx="17">
                  <c:v>5.0040703087595526</c:v>
                </c:pt>
                <c:pt idx="18">
                  <c:v>5.0010176336728414</c:v>
                </c:pt>
                <c:pt idx="19">
                  <c:v>5.0002544119486396</c:v>
                </c:pt>
                <c:pt idx="20">
                  <c:v>5.0000407060699485</c:v>
                </c:pt>
                <c:pt idx="21">
                  <c:v>5.0000101765231362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AD-41BA-8E06-157E0F164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065215"/>
        <c:axId val="618872447"/>
      </c:scatterChart>
      <c:valAx>
        <c:axId val="38306521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18872447"/>
        <c:crosses val="autoZero"/>
        <c:crossBetween val="midCat"/>
      </c:valAx>
      <c:valAx>
        <c:axId val="61887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8306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'ukol 1'!$E$7</c:f>
              <c:strCache>
                <c:ptCount val="1"/>
                <c:pt idx="0">
                  <c:v>ε″ [–]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'ukol 1'!$C$8:$C$29</c:f>
              <c:numCache>
                <c:formatCode>0.000E+00</c:formatCode>
                <c:ptCount val="22"/>
                <c:pt idx="0">
                  <c:v>6.2831853071795862</c:v>
                </c:pt>
                <c:pt idx="1">
                  <c:v>12.566370614359172</c:v>
                </c:pt>
                <c:pt idx="2">
                  <c:v>31.415926535897931</c:v>
                </c:pt>
                <c:pt idx="3">
                  <c:v>62.831853071795862</c:v>
                </c:pt>
                <c:pt idx="4">
                  <c:v>125.66370614359172</c:v>
                </c:pt>
                <c:pt idx="5">
                  <c:v>314.15926535897933</c:v>
                </c:pt>
                <c:pt idx="6">
                  <c:v>628.31853071795865</c:v>
                </c:pt>
                <c:pt idx="7">
                  <c:v>1256.6370614359173</c:v>
                </c:pt>
                <c:pt idx="8">
                  <c:v>3141.5926535897929</c:v>
                </c:pt>
                <c:pt idx="9">
                  <c:v>6283.1853071795858</c:v>
                </c:pt>
                <c:pt idx="10">
                  <c:v>12566.370614359172</c:v>
                </c:pt>
                <c:pt idx="11">
                  <c:v>31415.926535897932</c:v>
                </c:pt>
                <c:pt idx="12">
                  <c:v>62831.853071795864</c:v>
                </c:pt>
                <c:pt idx="13">
                  <c:v>125663.70614359173</c:v>
                </c:pt>
                <c:pt idx="14">
                  <c:v>314159.26535897929</c:v>
                </c:pt>
                <c:pt idx="15">
                  <c:v>628318.53071795858</c:v>
                </c:pt>
                <c:pt idx="16">
                  <c:v>1256637.0614359172</c:v>
                </c:pt>
                <c:pt idx="17">
                  <c:v>3141592.653589793</c:v>
                </c:pt>
                <c:pt idx="18">
                  <c:v>6283185.307179586</c:v>
                </c:pt>
                <c:pt idx="19">
                  <c:v>12566370.614359172</c:v>
                </c:pt>
                <c:pt idx="20">
                  <c:v>31415926.535897933</c:v>
                </c:pt>
                <c:pt idx="21">
                  <c:v>62831853.071795866</c:v>
                </c:pt>
              </c:numCache>
            </c:numRef>
          </c:xVal>
          <c:yVal>
            <c:numRef>
              <c:f>'ukol 1'!$E$8:$E$29</c:f>
              <c:numCache>
                <c:formatCode>0.000E+00</c:formatCode>
                <c:ptCount val="22"/>
                <c:pt idx="0">
                  <c:v>1.2786281409063684E-2</c:v>
                </c:pt>
                <c:pt idx="1">
                  <c:v>2.5572558671847625E-2</c:v>
                </c:pt>
                <c:pt idx="2">
                  <c:v>6.3931324119817695E-2</c:v>
                </c:pt>
                <c:pt idx="3">
                  <c:v>0.12786212995802898</c:v>
                </c:pt>
                <c:pt idx="4">
                  <c:v>0.25572011374723802</c:v>
                </c:pt>
                <c:pt idx="5">
                  <c:v>0.63922773582398695</c:v>
                </c:pt>
                <c:pt idx="6">
                  <c:v>1.2779375364817593</c:v>
                </c:pt>
                <c:pt idx="7">
                  <c:v>2.5517399712085194</c:v>
                </c:pt>
                <c:pt idx="8">
                  <c:v>6.3079117731458707</c:v>
                </c:pt>
                <c:pt idx="9">
                  <c:v>12.130668549338434</c:v>
                </c:pt>
                <c:pt idx="10">
                  <c:v>21.026890745454928</c:v>
                </c:pt>
                <c:pt idx="11">
                  <c:v>27.191562416067644</c:v>
                </c:pt>
                <c:pt idx="12">
                  <c:v>19.964230933198714</c:v>
                </c:pt>
                <c:pt idx="13">
                  <c:v>11.306098193925989</c:v>
                </c:pt>
                <c:pt idx="14">
                  <c:v>4.6968713856966264</c:v>
                </c:pt>
                <c:pt idx="15">
                  <c:v>2.3614473891932191</c:v>
                </c:pt>
                <c:pt idx="16">
                  <c:v>1.1823614366935118</c:v>
                </c:pt>
                <c:pt idx="17">
                  <c:v>0.47312832758352713</c:v>
                </c:pt>
                <c:pt idx="18">
                  <c:v>0.23657729482770151</c:v>
                </c:pt>
                <c:pt idx="19">
                  <c:v>0.11829028890723024</c:v>
                </c:pt>
                <c:pt idx="20">
                  <c:v>4.731629941341621E-2</c:v>
                </c:pt>
                <c:pt idx="21">
                  <c:v>2.3658162838946714E-2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A5-4352-BA6F-85C0EE8F0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624959"/>
        <c:axId val="604623999"/>
      </c:scatterChart>
      <c:valAx>
        <c:axId val="60462495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04623999"/>
        <c:crosses val="autoZero"/>
        <c:crossBetween val="midCat"/>
      </c:valAx>
      <c:valAx>
        <c:axId val="60462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04624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'ukol 1'!$F$7</c:f>
              <c:strCache>
                <c:ptCount val="1"/>
                <c:pt idx="0">
                  <c:v>tg δ [–]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'ukol 1'!$C$8:$C$29</c:f>
              <c:numCache>
                <c:formatCode>0.000E+00</c:formatCode>
                <c:ptCount val="22"/>
                <c:pt idx="0">
                  <c:v>6.2831853071795862</c:v>
                </c:pt>
                <c:pt idx="1">
                  <c:v>12.566370614359172</c:v>
                </c:pt>
                <c:pt idx="2">
                  <c:v>31.415926535897931</c:v>
                </c:pt>
                <c:pt idx="3">
                  <c:v>62.831853071795862</c:v>
                </c:pt>
                <c:pt idx="4">
                  <c:v>125.66370614359172</c:v>
                </c:pt>
                <c:pt idx="5">
                  <c:v>314.15926535897933</c:v>
                </c:pt>
                <c:pt idx="6">
                  <c:v>628.31853071795865</c:v>
                </c:pt>
                <c:pt idx="7">
                  <c:v>1256.6370614359173</c:v>
                </c:pt>
                <c:pt idx="8">
                  <c:v>3141.5926535897929</c:v>
                </c:pt>
                <c:pt idx="9">
                  <c:v>6283.1853071795858</c:v>
                </c:pt>
                <c:pt idx="10">
                  <c:v>12566.370614359172</c:v>
                </c:pt>
                <c:pt idx="11">
                  <c:v>31415.926535897932</c:v>
                </c:pt>
                <c:pt idx="12">
                  <c:v>62831.853071795864</c:v>
                </c:pt>
                <c:pt idx="13">
                  <c:v>125663.70614359173</c:v>
                </c:pt>
                <c:pt idx="14">
                  <c:v>314159.26535897929</c:v>
                </c:pt>
                <c:pt idx="15">
                  <c:v>628318.53071795858</c:v>
                </c:pt>
                <c:pt idx="16">
                  <c:v>1256637.0614359172</c:v>
                </c:pt>
                <c:pt idx="17">
                  <c:v>3141592.653589793</c:v>
                </c:pt>
                <c:pt idx="18">
                  <c:v>6283185.307179586</c:v>
                </c:pt>
                <c:pt idx="19">
                  <c:v>12566370.614359172</c:v>
                </c:pt>
                <c:pt idx="20">
                  <c:v>31415926.535897933</c:v>
                </c:pt>
                <c:pt idx="21">
                  <c:v>62831853.071795866</c:v>
                </c:pt>
              </c:numCache>
            </c:numRef>
          </c:xVal>
          <c:yVal>
            <c:numRef>
              <c:f>'ukol 1'!$F$8:$F$29</c:f>
              <c:numCache>
                <c:formatCode>0.000E+00</c:formatCode>
                <c:ptCount val="22"/>
                <c:pt idx="0">
                  <c:v>2.1310470070872039E-4</c:v>
                </c:pt>
                <c:pt idx="1">
                  <c:v>4.2620939565871747E-4</c:v>
                </c:pt>
                <c:pt idx="2">
                  <c:v>1.065523388369147E-3</c:v>
                </c:pt>
                <c:pt idx="3">
                  <c:v>2.1310460568982714E-3</c:v>
                </c:pt>
                <c:pt idx="4">
                  <c:v>4.2620863550860916E-3</c:v>
                </c:pt>
                <c:pt idx="5">
                  <c:v>1.0655115111371634E-2</c:v>
                </c:pt>
                <c:pt idx="6">
                  <c:v>2.1309510422839354E-2</c:v>
                </c:pt>
                <c:pt idx="7">
                  <c:v>4.2613263418829012E-2</c:v>
                </c:pt>
                <c:pt idx="8">
                  <c:v>0.10643251236268365</c:v>
                </c:pt>
                <c:pt idx="9">
                  <c:v>0.21214921776841755</c:v>
                </c:pt>
                <c:pt idx="10">
                  <c:v>0.41866698451666218</c:v>
                </c:pt>
                <c:pt idx="11">
                  <c:v>0.9576915253464795</c:v>
                </c:pt>
                <c:pt idx="12">
                  <c:v>1.4692995531654947</c:v>
                </c:pt>
                <c:pt idx="13">
                  <c:v>1.521344161992046</c:v>
                </c:pt>
                <c:pt idx="14">
                  <c:v>0.86913585700157203</c:v>
                </c:pt>
                <c:pt idx="15">
                  <c:v>0.46288574071718519</c:v>
                </c:pt>
                <c:pt idx="16">
                  <c:v>0.23527569633991924</c:v>
                </c:pt>
                <c:pt idx="17">
                  <c:v>9.4548697038753196E-2</c:v>
                </c:pt>
                <c:pt idx="18">
                  <c:v>4.7305830964238113E-2</c:v>
                </c:pt>
                <c:pt idx="19">
                  <c:v>2.3656854064177817E-2</c:v>
                </c:pt>
                <c:pt idx="20">
                  <c:v>9.4631828408867098E-3</c:v>
                </c:pt>
                <c:pt idx="21">
                  <c:v>4.7316229374952841E-3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6-48AC-9DAC-E63FF047C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023551"/>
        <c:axId val="389024991"/>
      </c:scatterChart>
      <c:valAx>
        <c:axId val="389023551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89024991"/>
        <c:crosses val="autoZero"/>
        <c:crossBetween val="midCat"/>
      </c:valAx>
      <c:valAx>
        <c:axId val="3890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89023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The guy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'ukol 1'!$D$7</c:f>
              <c:strCache>
                <c:ptCount val="1"/>
                <c:pt idx="0">
                  <c:v>ε′ [–]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'ukol 1'!$C$8:$C$29</c:f>
              <c:numCache>
                <c:formatCode>0.000E+00</c:formatCode>
                <c:ptCount val="22"/>
                <c:pt idx="0">
                  <c:v>6.2831853071795862</c:v>
                </c:pt>
                <c:pt idx="1">
                  <c:v>12.566370614359172</c:v>
                </c:pt>
                <c:pt idx="2">
                  <c:v>31.415926535897931</c:v>
                </c:pt>
                <c:pt idx="3">
                  <c:v>62.831853071795862</c:v>
                </c:pt>
                <c:pt idx="4">
                  <c:v>125.66370614359172</c:v>
                </c:pt>
                <c:pt idx="5">
                  <c:v>314.15926535897933</c:v>
                </c:pt>
                <c:pt idx="6">
                  <c:v>628.31853071795865</c:v>
                </c:pt>
                <c:pt idx="7">
                  <c:v>1256.6370614359173</c:v>
                </c:pt>
                <c:pt idx="8">
                  <c:v>3141.5926535897929</c:v>
                </c:pt>
                <c:pt idx="9">
                  <c:v>6283.1853071795858</c:v>
                </c:pt>
                <c:pt idx="10">
                  <c:v>12566.370614359172</c:v>
                </c:pt>
                <c:pt idx="11">
                  <c:v>31415.926535897932</c:v>
                </c:pt>
                <c:pt idx="12">
                  <c:v>62831.853071795864</c:v>
                </c:pt>
                <c:pt idx="13">
                  <c:v>125663.70614359173</c:v>
                </c:pt>
                <c:pt idx="14">
                  <c:v>314159.26535897929</c:v>
                </c:pt>
                <c:pt idx="15">
                  <c:v>628318.53071795858</c:v>
                </c:pt>
                <c:pt idx="16">
                  <c:v>1256637.0614359172</c:v>
                </c:pt>
                <c:pt idx="17">
                  <c:v>3141592.653589793</c:v>
                </c:pt>
                <c:pt idx="18">
                  <c:v>6283185.307179586</c:v>
                </c:pt>
                <c:pt idx="19">
                  <c:v>12566370.614359172</c:v>
                </c:pt>
                <c:pt idx="20">
                  <c:v>31415926.535897933</c:v>
                </c:pt>
                <c:pt idx="21">
                  <c:v>62831853.071795866</c:v>
                </c:pt>
              </c:numCache>
            </c:numRef>
          </c:xVal>
          <c:yVal>
            <c:numRef>
              <c:f>'ukol 1'!$D$8:$D$29</c:f>
              <c:numCache>
                <c:formatCode>0.000E+00</c:formatCode>
                <c:ptCount val="22"/>
                <c:pt idx="0">
                  <c:v>59.999997027472709</c:v>
                </c:pt>
                <c:pt idx="1">
                  <c:v>59.999988109892755</c:v>
                </c:pt>
                <c:pt idx="2">
                  <c:v>59.999925686914068</c:v>
                </c:pt>
                <c:pt idx="3">
                  <c:v>59.999702748861168</c:v>
                </c:pt>
                <c:pt idx="4">
                  <c:v>59.998811014722534</c:v>
                </c:pt>
                <c:pt idx="5">
                  <c:v>59.992569685312304</c:v>
                </c:pt>
                <c:pt idx="6">
                  <c:v>59.970290782094956</c:v>
                </c:pt>
                <c:pt idx="7">
                  <c:v>59.881355392298182</c:v>
                </c:pt>
                <c:pt idx="8">
                  <c:v>59.266775096417717</c:v>
                </c:pt>
                <c:pt idx="9">
                  <c:v>57.179888179367659</c:v>
                </c:pt>
                <c:pt idx="10">
                  <c:v>50.223427026924057</c:v>
                </c:pt>
                <c:pt idx="11">
                  <c:v>28.392819291399821</c:v>
                </c:pt>
                <c:pt idx="12">
                  <c:v>13.587583886612698</c:v>
                </c:pt>
                <c:pt idx="13">
                  <c:v>7.4316505603319882</c:v>
                </c:pt>
                <c:pt idx="14">
                  <c:v>5.4040704314056747</c:v>
                </c:pt>
                <c:pt idx="15">
                  <c:v>5.1015773040112302</c:v>
                </c:pt>
                <c:pt idx="16">
                  <c:v>5.0254295496177033</c:v>
                </c:pt>
                <c:pt idx="17">
                  <c:v>5.0040703087595526</c:v>
                </c:pt>
                <c:pt idx="18">
                  <c:v>5.0010176336728414</c:v>
                </c:pt>
                <c:pt idx="19">
                  <c:v>5.0002544119486396</c:v>
                </c:pt>
                <c:pt idx="20">
                  <c:v>5.0000407060699485</c:v>
                </c:pt>
                <c:pt idx="21">
                  <c:v>5.0000101765231362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F5-477A-A8DC-7F1F174719A2}"/>
            </c:ext>
          </c:extLst>
        </c:ser>
        <c:ser>
          <c:idx val="1"/>
          <c:order val="1"/>
          <c:tx>
            <c:strRef>
              <c:f>'ukol 1'!$E$7</c:f>
              <c:strCache>
                <c:ptCount val="1"/>
                <c:pt idx="0">
                  <c:v>ε″ [–]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'ukol 1'!$C$8:$C$29</c:f>
              <c:numCache>
                <c:formatCode>0.000E+00</c:formatCode>
                <c:ptCount val="22"/>
                <c:pt idx="0">
                  <c:v>6.2831853071795862</c:v>
                </c:pt>
                <c:pt idx="1">
                  <c:v>12.566370614359172</c:v>
                </c:pt>
                <c:pt idx="2">
                  <c:v>31.415926535897931</c:v>
                </c:pt>
                <c:pt idx="3">
                  <c:v>62.831853071795862</c:v>
                </c:pt>
                <c:pt idx="4">
                  <c:v>125.66370614359172</c:v>
                </c:pt>
                <c:pt idx="5">
                  <c:v>314.15926535897933</c:v>
                </c:pt>
                <c:pt idx="6">
                  <c:v>628.31853071795865</c:v>
                </c:pt>
                <c:pt idx="7">
                  <c:v>1256.6370614359173</c:v>
                </c:pt>
                <c:pt idx="8">
                  <c:v>3141.5926535897929</c:v>
                </c:pt>
                <c:pt idx="9">
                  <c:v>6283.1853071795858</c:v>
                </c:pt>
                <c:pt idx="10">
                  <c:v>12566.370614359172</c:v>
                </c:pt>
                <c:pt idx="11">
                  <c:v>31415.926535897932</c:v>
                </c:pt>
                <c:pt idx="12">
                  <c:v>62831.853071795864</c:v>
                </c:pt>
                <c:pt idx="13">
                  <c:v>125663.70614359173</c:v>
                </c:pt>
                <c:pt idx="14">
                  <c:v>314159.26535897929</c:v>
                </c:pt>
                <c:pt idx="15">
                  <c:v>628318.53071795858</c:v>
                </c:pt>
                <c:pt idx="16">
                  <c:v>1256637.0614359172</c:v>
                </c:pt>
                <c:pt idx="17">
                  <c:v>3141592.653589793</c:v>
                </c:pt>
                <c:pt idx="18">
                  <c:v>6283185.307179586</c:v>
                </c:pt>
                <c:pt idx="19">
                  <c:v>12566370.614359172</c:v>
                </c:pt>
                <c:pt idx="20">
                  <c:v>31415926.535897933</c:v>
                </c:pt>
                <c:pt idx="21">
                  <c:v>62831853.071795866</c:v>
                </c:pt>
              </c:numCache>
            </c:numRef>
          </c:xVal>
          <c:yVal>
            <c:numRef>
              <c:f>'ukol 1'!$E$8:$E$29</c:f>
              <c:numCache>
                <c:formatCode>0.000E+00</c:formatCode>
                <c:ptCount val="22"/>
                <c:pt idx="0">
                  <c:v>1.2786281409063684E-2</c:v>
                </c:pt>
                <c:pt idx="1">
                  <c:v>2.5572558671847625E-2</c:v>
                </c:pt>
                <c:pt idx="2">
                  <c:v>6.3931324119817695E-2</c:v>
                </c:pt>
                <c:pt idx="3">
                  <c:v>0.12786212995802898</c:v>
                </c:pt>
                <c:pt idx="4">
                  <c:v>0.25572011374723802</c:v>
                </c:pt>
                <c:pt idx="5">
                  <c:v>0.63922773582398695</c:v>
                </c:pt>
                <c:pt idx="6">
                  <c:v>1.2779375364817593</c:v>
                </c:pt>
                <c:pt idx="7">
                  <c:v>2.5517399712085194</c:v>
                </c:pt>
                <c:pt idx="8">
                  <c:v>6.3079117731458707</c:v>
                </c:pt>
                <c:pt idx="9">
                  <c:v>12.130668549338434</c:v>
                </c:pt>
                <c:pt idx="10">
                  <c:v>21.026890745454928</c:v>
                </c:pt>
                <c:pt idx="11">
                  <c:v>27.191562416067644</c:v>
                </c:pt>
                <c:pt idx="12">
                  <c:v>19.964230933198714</c:v>
                </c:pt>
                <c:pt idx="13">
                  <c:v>11.306098193925989</c:v>
                </c:pt>
                <c:pt idx="14">
                  <c:v>4.6968713856966264</c:v>
                </c:pt>
                <c:pt idx="15">
                  <c:v>2.3614473891932191</c:v>
                </c:pt>
                <c:pt idx="16">
                  <c:v>1.1823614366935118</c:v>
                </c:pt>
                <c:pt idx="17">
                  <c:v>0.47312832758352713</c:v>
                </c:pt>
                <c:pt idx="18">
                  <c:v>0.23657729482770151</c:v>
                </c:pt>
                <c:pt idx="19">
                  <c:v>0.11829028890723024</c:v>
                </c:pt>
                <c:pt idx="20">
                  <c:v>4.731629941341621E-2</c:v>
                </c:pt>
                <c:pt idx="21">
                  <c:v>2.3658162838946714E-2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5-477A-A8DC-7F1F1747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4949775"/>
        <c:axId val="384955055"/>
      </c:scatterChart>
      <c:scatterChart>
        <c:scatterStyle val="lineMarker"/>
        <c:varyColors val="0"/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'ukol 1'!$C$8:$C$29</c:f>
              <c:numCache>
                <c:formatCode>0.000E+00</c:formatCode>
                <c:ptCount val="22"/>
                <c:pt idx="0">
                  <c:v>6.2831853071795862</c:v>
                </c:pt>
                <c:pt idx="1">
                  <c:v>12.566370614359172</c:v>
                </c:pt>
                <c:pt idx="2">
                  <c:v>31.415926535897931</c:v>
                </c:pt>
                <c:pt idx="3">
                  <c:v>62.831853071795862</c:v>
                </c:pt>
                <c:pt idx="4">
                  <c:v>125.66370614359172</c:v>
                </c:pt>
                <c:pt idx="5">
                  <c:v>314.15926535897933</c:v>
                </c:pt>
                <c:pt idx="6">
                  <c:v>628.31853071795865</c:v>
                </c:pt>
                <c:pt idx="7">
                  <c:v>1256.6370614359173</c:v>
                </c:pt>
                <c:pt idx="8">
                  <c:v>3141.5926535897929</c:v>
                </c:pt>
                <c:pt idx="9">
                  <c:v>6283.1853071795858</c:v>
                </c:pt>
                <c:pt idx="10">
                  <c:v>12566.370614359172</c:v>
                </c:pt>
                <c:pt idx="11">
                  <c:v>31415.926535897932</c:v>
                </c:pt>
                <c:pt idx="12">
                  <c:v>62831.853071795864</c:v>
                </c:pt>
                <c:pt idx="13">
                  <c:v>125663.70614359173</c:v>
                </c:pt>
                <c:pt idx="14">
                  <c:v>314159.26535897929</c:v>
                </c:pt>
                <c:pt idx="15">
                  <c:v>628318.53071795858</c:v>
                </c:pt>
                <c:pt idx="16">
                  <c:v>1256637.0614359172</c:v>
                </c:pt>
                <c:pt idx="17">
                  <c:v>3141592.653589793</c:v>
                </c:pt>
                <c:pt idx="18">
                  <c:v>6283185.307179586</c:v>
                </c:pt>
                <c:pt idx="19">
                  <c:v>12566370.614359172</c:v>
                </c:pt>
                <c:pt idx="20">
                  <c:v>31415926.535897933</c:v>
                </c:pt>
                <c:pt idx="21">
                  <c:v>62831853.071795866</c:v>
                </c:pt>
              </c:numCache>
            </c:numRef>
          </c:xVal>
          <c:yVal>
            <c:numRef>
              <c:f>'ukol 1'!$F$8:$F$29</c:f>
              <c:numCache>
                <c:formatCode>0.000E+00</c:formatCode>
                <c:ptCount val="22"/>
                <c:pt idx="0">
                  <c:v>2.1310470070872039E-4</c:v>
                </c:pt>
                <c:pt idx="1">
                  <c:v>4.2620939565871747E-4</c:v>
                </c:pt>
                <c:pt idx="2">
                  <c:v>1.065523388369147E-3</c:v>
                </c:pt>
                <c:pt idx="3">
                  <c:v>2.1310460568982714E-3</c:v>
                </c:pt>
                <c:pt idx="4">
                  <c:v>4.2620863550860916E-3</c:v>
                </c:pt>
                <c:pt idx="5">
                  <c:v>1.0655115111371634E-2</c:v>
                </c:pt>
                <c:pt idx="6">
                  <c:v>2.1309510422839354E-2</c:v>
                </c:pt>
                <c:pt idx="7">
                  <c:v>4.2613263418829012E-2</c:v>
                </c:pt>
                <c:pt idx="8">
                  <c:v>0.10643251236268365</c:v>
                </c:pt>
                <c:pt idx="9">
                  <c:v>0.21214921776841755</c:v>
                </c:pt>
                <c:pt idx="10">
                  <c:v>0.41866698451666218</c:v>
                </c:pt>
                <c:pt idx="11">
                  <c:v>0.9576915253464795</c:v>
                </c:pt>
                <c:pt idx="12">
                  <c:v>1.4692995531654947</c:v>
                </c:pt>
                <c:pt idx="13">
                  <c:v>1.521344161992046</c:v>
                </c:pt>
                <c:pt idx="14">
                  <c:v>0.86913585700157203</c:v>
                </c:pt>
                <c:pt idx="15">
                  <c:v>0.46288574071718519</c:v>
                </c:pt>
                <c:pt idx="16">
                  <c:v>0.23527569633991924</c:v>
                </c:pt>
                <c:pt idx="17">
                  <c:v>9.4548697038753196E-2</c:v>
                </c:pt>
                <c:pt idx="18">
                  <c:v>4.7305830964238113E-2</c:v>
                </c:pt>
                <c:pt idx="19">
                  <c:v>2.3656854064177817E-2</c:v>
                </c:pt>
                <c:pt idx="20">
                  <c:v>9.4631828408867098E-3</c:v>
                </c:pt>
                <c:pt idx="21">
                  <c:v>4.7316229374952841E-3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F5-477A-A8DC-7F1F1747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628319"/>
        <c:axId val="383067615"/>
      </c:scatterChart>
      <c:valAx>
        <c:axId val="3849497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84955055"/>
        <c:crosses val="autoZero"/>
        <c:crossBetween val="midCat"/>
      </c:valAx>
      <c:valAx>
        <c:axId val="384955055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84949775"/>
        <c:crosses val="autoZero"/>
        <c:crossBetween val="midCat"/>
      </c:valAx>
      <c:valAx>
        <c:axId val="383067615"/>
        <c:scaling>
          <c:orientation val="minMax"/>
          <c:max val="8"/>
        </c:scaling>
        <c:delete val="0"/>
        <c:axPos val="r"/>
        <c:numFmt formatCode="0.0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04628319"/>
        <c:crosses val="max"/>
        <c:crossBetween val="midCat"/>
      </c:valAx>
      <c:valAx>
        <c:axId val="604628319"/>
        <c:scaling>
          <c:logBase val="10"/>
          <c:orientation val="minMax"/>
        </c:scaling>
        <c:delete val="1"/>
        <c:axPos val="b"/>
        <c:numFmt formatCode="0.000E+00" sourceLinked="1"/>
        <c:majorTickMark val="out"/>
        <c:minorTickMark val="none"/>
        <c:tickLblPos val="nextTo"/>
        <c:crossAx val="383067615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List1!$E$4</c:f>
              <c:strCache>
                <c:ptCount val="1"/>
                <c:pt idx="0">
                  <c:v>ε″ [–]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List1!$D$5:$D$27</c:f>
              <c:numCache>
                <c:formatCode>0.000E+00</c:formatCode>
                <c:ptCount val="23"/>
                <c:pt idx="0">
                  <c:v>3.6280000000000001</c:v>
                </c:pt>
                <c:pt idx="1">
                  <c:v>3.6185002945342086</c:v>
                </c:pt>
                <c:pt idx="2">
                  <c:v>3.6114622758015424</c:v>
                </c:pt>
                <c:pt idx="3">
                  <c:v>3.5933898162293172</c:v>
                </c:pt>
                <c:pt idx="4">
                  <c:v>3.5672475089287792</c:v>
                </c:pt>
                <c:pt idx="5">
                  <c:v>3.5216348937957167</c:v>
                </c:pt>
                <c:pt idx="6">
                  <c:v>3.4141326905547533</c:v>
                </c:pt>
                <c:pt idx="7">
                  <c:v>3.2984785881356098</c:v>
                </c:pt>
                <c:pt idx="8">
                  <c:v>3.1905477861659191</c:v>
                </c:pt>
                <c:pt idx="9">
                  <c:v>3.1192869877664937</c:v>
                </c:pt>
                <c:pt idx="10">
                  <c:v>3.1055932672492657</c:v>
                </c:pt>
                <c:pt idx="11">
                  <c:v>3.1026357801911968</c:v>
                </c:pt>
                <c:pt idx="12">
                  <c:v>3.1020571283379081</c:v>
                </c:pt>
                <c:pt idx="13">
                  <c:v>3.1020088470652487</c:v>
                </c:pt>
                <c:pt idx="14">
                  <c:v>3.1020013465911194</c:v>
                </c:pt>
                <c:pt idx="15">
                  <c:v>3.1020001103190191</c:v>
                </c:pt>
                <c:pt idx="16">
                  <c:v>3.1020000165349875</c:v>
                </c:pt>
                <c:pt idx="17">
                  <c:v>3.1020000024724816</c:v>
                </c:pt>
                <c:pt idx="18">
                  <c:v>3.1020000002001402</c:v>
                </c:pt>
                <c:pt idx="19">
                  <c:v>3.1020000000298587</c:v>
                </c:pt>
                <c:pt idx="20">
                  <c:v>3.1020000000044528</c:v>
                </c:pt>
                <c:pt idx="21">
                  <c:v>3.1020000000003596</c:v>
                </c:pt>
                <c:pt idx="22">
                  <c:v>3.1020000000000536</c:v>
                </c:pt>
              </c:numCache>
            </c:numRef>
          </c:xVal>
          <c:yVal>
            <c:numRef>
              <c:f>List1!$E$5:$E$27</c:f>
              <c:numCache>
                <c:formatCode>0.000E+00</c:formatCode>
                <c:ptCount val="23"/>
                <c:pt idx="0">
                  <c:v>0</c:v>
                </c:pt>
                <c:pt idx="1">
                  <c:v>2.0563766275351501E-3</c:v>
                </c:pt>
                <c:pt idx="2">
                  <c:v>3.5382215177345092E-3</c:v>
                </c:pt>
                <c:pt idx="3">
                  <c:v>7.204694648713315E-3</c:v>
                </c:pt>
                <c:pt idx="4">
                  <c:v>1.2223404542048457E-2</c:v>
                </c:pt>
                <c:pt idx="5">
                  <c:v>2.0408293616863311E-2</c:v>
                </c:pt>
                <c:pt idx="6">
                  <c:v>3.8188785471933009E-2</c:v>
                </c:pt>
                <c:pt idx="7">
                  <c:v>5.6917943707373249E-2</c:v>
                </c:pt>
                <c:pt idx="8">
                  <c:v>7.6327239813159392E-2</c:v>
                </c:pt>
                <c:pt idx="9">
                  <c:v>9.2691171372652092E-2</c:v>
                </c:pt>
                <c:pt idx="10">
                  <c:v>9.4836082750260522E-2</c:v>
                </c:pt>
                <c:pt idx="11">
                  <c:v>9.0537865347350213E-2</c:v>
                </c:pt>
                <c:pt idx="12">
                  <c:v>8.0157890395574208E-2</c:v>
                </c:pt>
                <c:pt idx="13">
                  <c:v>7.1316576748454458E-2</c:v>
                </c:pt>
                <c:pt idx="14">
                  <c:v>6.2735348774298261E-2</c:v>
                </c:pt>
                <c:pt idx="15">
                  <c:v>5.2457155818781506E-2</c:v>
                </c:pt>
                <c:pt idx="16">
                  <c:v>4.5639408253272992E-2</c:v>
                </c:pt>
                <c:pt idx="17">
                  <c:v>3.9636628071169216E-2</c:v>
                </c:pt>
                <c:pt idx="18">
                  <c:v>3.2845963726532784E-2</c:v>
                </c:pt>
                <c:pt idx="19">
                  <c:v>2.8475586771830031E-2</c:v>
                </c:pt>
                <c:pt idx="20">
                  <c:v>2.4679577135581936E-2</c:v>
                </c:pt>
                <c:pt idx="21">
                  <c:v>2.042178752823871E-2</c:v>
                </c:pt>
                <c:pt idx="22">
                  <c:v>1.7694359506375677E-2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BF-4C35-8630-67A659D0F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5361631"/>
        <c:axId val="645366911"/>
      </c:scatterChart>
      <c:valAx>
        <c:axId val="645361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45366911"/>
        <c:crosses val="autoZero"/>
        <c:crossBetween val="midCat"/>
      </c:valAx>
      <c:valAx>
        <c:axId val="64536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45361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List1!$D$35:$D$54</c:f>
              <c:numCache>
                <c:formatCode>0.000E+00</c:formatCode>
                <c:ptCount val="20"/>
                <c:pt idx="0">
                  <c:v>3.6280000000000001</c:v>
                </c:pt>
                <c:pt idx="1">
                  <c:v>3.5933898162293172</c:v>
                </c:pt>
                <c:pt idx="2">
                  <c:v>3.5672475089287792</c:v>
                </c:pt>
                <c:pt idx="3">
                  <c:v>3.4816260613701009</c:v>
                </c:pt>
                <c:pt idx="4">
                  <c:v>3.4141326905547533</c:v>
                </c:pt>
                <c:pt idx="5">
                  <c:v>3.2984785881356098</c:v>
                </c:pt>
                <c:pt idx="6">
                  <c:v>3.231126659058392</c:v>
                </c:pt>
                <c:pt idx="7">
                  <c:v>3.1905477861659191</c:v>
                </c:pt>
                <c:pt idx="8">
                  <c:v>3.1483998222584693</c:v>
                </c:pt>
                <c:pt idx="9">
                  <c:v>3.1192869877664937</c:v>
                </c:pt>
                <c:pt idx="10">
                  <c:v>3.110283036452675</c:v>
                </c:pt>
                <c:pt idx="11">
                  <c:v>3.1055932672492657</c:v>
                </c:pt>
                <c:pt idx="12">
                  <c:v>3.1026357801911968</c:v>
                </c:pt>
                <c:pt idx="13">
                  <c:v>3.1022213835081902</c:v>
                </c:pt>
                <c:pt idx="14">
                  <c:v>3.1020088470652487</c:v>
                </c:pt>
                <c:pt idx="15">
                  <c:v>3.1020000165349875</c:v>
                </c:pt>
                <c:pt idx="16">
                  <c:v>3.1020000002001402</c:v>
                </c:pt>
                <c:pt idx="17">
                  <c:v>3.1020000000298587</c:v>
                </c:pt>
                <c:pt idx="18">
                  <c:v>3.1020000000003596</c:v>
                </c:pt>
                <c:pt idx="19">
                  <c:v>3.1020000000000536</c:v>
                </c:pt>
              </c:numCache>
            </c:numRef>
          </c:xVal>
          <c:yVal>
            <c:numRef>
              <c:f>List1!$E$35:$E$54</c:f>
              <c:numCache>
                <c:formatCode>0.00000</c:formatCode>
                <c:ptCount val="20"/>
                <c:pt idx="0">
                  <c:v>0</c:v>
                </c:pt>
                <c:pt idx="1">
                  <c:v>7.204694648713315E-3</c:v>
                </c:pt>
                <c:pt idx="2">
                  <c:v>1.2223404542048457E-2</c:v>
                </c:pt>
                <c:pt idx="3">
                  <c:v>2.7192566049805723E-2</c:v>
                </c:pt>
                <c:pt idx="4">
                  <c:v>3.8188785471933009E-2</c:v>
                </c:pt>
                <c:pt idx="5">
                  <c:v>5.6917943707373249E-2</c:v>
                </c:pt>
                <c:pt idx="6">
                  <c:v>6.8591531713901199E-2</c:v>
                </c:pt>
                <c:pt idx="7">
                  <c:v>7.6327239813159392E-2</c:v>
                </c:pt>
                <c:pt idx="8">
                  <c:v>8.5428664164064694E-2</c:v>
                </c:pt>
                <c:pt idx="9">
                  <c:v>9.2691171372652092E-2</c:v>
                </c:pt>
                <c:pt idx="10">
                  <c:v>9.4744646672455746E-2</c:v>
                </c:pt>
                <c:pt idx="11">
                  <c:v>9.4836082750260522E-2</c:v>
                </c:pt>
                <c:pt idx="12">
                  <c:v>9.0537865347350213E-2</c:v>
                </c:pt>
                <c:pt idx="13">
                  <c:v>8.6322632459952559E-2</c:v>
                </c:pt>
                <c:pt idx="14">
                  <c:v>7.1316576748454458E-2</c:v>
                </c:pt>
                <c:pt idx="15">
                  <c:v>4.5639408253272992E-2</c:v>
                </c:pt>
                <c:pt idx="16">
                  <c:v>3.2845963726532784E-2</c:v>
                </c:pt>
                <c:pt idx="17">
                  <c:v>2.8475586771830031E-2</c:v>
                </c:pt>
                <c:pt idx="18">
                  <c:v>2.042178752823871E-2</c:v>
                </c:pt>
                <c:pt idx="19">
                  <c:v>1.7694359506375677E-2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3-4C81-A12F-10300F4E9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631199"/>
        <c:axId val="604617759"/>
      </c:scatterChart>
      <c:valAx>
        <c:axId val="604631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04617759"/>
        <c:crosses val="autoZero"/>
        <c:crossBetween val="midCat"/>
      </c:valAx>
      <c:valAx>
        <c:axId val="60461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04631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image" Target="../media/image9.png"/><Relationship Id="rId18" Type="http://schemas.openxmlformats.org/officeDocument/2006/relationships/image" Target="../media/image14.png"/><Relationship Id="rId3" Type="http://schemas.openxmlformats.org/officeDocument/2006/relationships/chart" Target="../charts/chart3.xml"/><Relationship Id="rId21" Type="http://schemas.openxmlformats.org/officeDocument/2006/relationships/image" Target="../media/image17.png"/><Relationship Id="rId7" Type="http://schemas.openxmlformats.org/officeDocument/2006/relationships/image" Target="../media/image3.png"/><Relationship Id="rId12" Type="http://schemas.openxmlformats.org/officeDocument/2006/relationships/image" Target="../media/image8.png"/><Relationship Id="rId17" Type="http://schemas.openxmlformats.org/officeDocument/2006/relationships/image" Target="../media/image13.png"/><Relationship Id="rId2" Type="http://schemas.openxmlformats.org/officeDocument/2006/relationships/chart" Target="../charts/chart2.xml"/><Relationship Id="rId16" Type="http://schemas.openxmlformats.org/officeDocument/2006/relationships/image" Target="../media/image12.png"/><Relationship Id="rId20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11" Type="http://schemas.openxmlformats.org/officeDocument/2006/relationships/image" Target="../media/image7.png"/><Relationship Id="rId5" Type="http://schemas.openxmlformats.org/officeDocument/2006/relationships/image" Target="../media/image1.png"/><Relationship Id="rId15" Type="http://schemas.openxmlformats.org/officeDocument/2006/relationships/image" Target="../media/image11.png"/><Relationship Id="rId10" Type="http://schemas.openxmlformats.org/officeDocument/2006/relationships/image" Target="../media/image6.png"/><Relationship Id="rId19" Type="http://schemas.openxmlformats.org/officeDocument/2006/relationships/image" Target="../media/image15.png"/><Relationship Id="rId4" Type="http://schemas.openxmlformats.org/officeDocument/2006/relationships/chart" Target="../charts/chart4.xml"/><Relationship Id="rId9" Type="http://schemas.openxmlformats.org/officeDocument/2006/relationships/image" Target="../media/image5.png"/><Relationship Id="rId14" Type="http://schemas.openxmlformats.org/officeDocument/2006/relationships/image" Target="../media/image10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2</xdr:row>
      <xdr:rowOff>114300</xdr:rowOff>
    </xdr:from>
    <xdr:to>
      <xdr:col>13</xdr:col>
      <xdr:colOff>171450</xdr:colOff>
      <xdr:row>17</xdr:row>
      <xdr:rowOff>19050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69319AE2-87D4-A2D1-C288-1240CB1CF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390525</xdr:colOff>
      <xdr:row>17</xdr:row>
      <xdr:rowOff>76200</xdr:rowOff>
    </xdr:from>
    <xdr:to>
      <xdr:col>13</xdr:col>
      <xdr:colOff>161925</xdr:colOff>
      <xdr:row>32</xdr:row>
      <xdr:rowOff>47625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DE27AAD9-8923-1074-73A9-438EFD348A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381000</xdr:colOff>
      <xdr:row>32</xdr:row>
      <xdr:rowOff>133350</xdr:rowOff>
    </xdr:from>
    <xdr:to>
      <xdr:col>13</xdr:col>
      <xdr:colOff>152400</xdr:colOff>
      <xdr:row>49</xdr:row>
      <xdr:rowOff>123825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537460C2-3204-6B64-4919-70DEABB4BC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523874</xdr:colOff>
      <xdr:row>29</xdr:row>
      <xdr:rowOff>133349</xdr:rowOff>
    </xdr:from>
    <xdr:to>
      <xdr:col>6</xdr:col>
      <xdr:colOff>85725</xdr:colOff>
      <xdr:row>63</xdr:row>
      <xdr:rowOff>0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1CE3FDBF-1235-347B-A4CD-9C76B374A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485775</xdr:colOff>
      <xdr:row>63</xdr:row>
      <xdr:rowOff>76200</xdr:rowOff>
    </xdr:from>
    <xdr:to>
      <xdr:col>7</xdr:col>
      <xdr:colOff>325046</xdr:colOff>
      <xdr:row>100</xdr:row>
      <xdr:rowOff>67510</xdr:rowOff>
    </xdr:to>
    <xdr:pic>
      <xdr:nvPicPr>
        <xdr:cNvPr id="12" name="Obrázek 11">
          <a:extLst>
            <a:ext uri="{FF2B5EF4-FFF2-40B4-BE49-F238E27FC236}">
              <a16:creationId xmlns:a16="http://schemas.microsoft.com/office/drawing/2014/main" id="{A0BD9221-6CED-0B4E-CDF5-A8037CAB1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85775" y="11058525"/>
          <a:ext cx="8573696" cy="5982535"/>
        </a:xfrm>
        <a:prstGeom prst="rect">
          <a:avLst/>
        </a:prstGeom>
      </xdr:spPr>
    </xdr:pic>
    <xdr:clientData/>
  </xdr:twoCellAnchor>
  <xdr:twoCellAnchor editAs="oneCell">
    <xdr:from>
      <xdr:col>7</xdr:col>
      <xdr:colOff>457200</xdr:colOff>
      <xdr:row>63</xdr:row>
      <xdr:rowOff>104775</xdr:rowOff>
    </xdr:from>
    <xdr:to>
      <xdr:col>19</xdr:col>
      <xdr:colOff>305996</xdr:colOff>
      <xdr:row>100</xdr:row>
      <xdr:rowOff>86559</xdr:rowOff>
    </xdr:to>
    <xdr:pic>
      <xdr:nvPicPr>
        <xdr:cNvPr id="13" name="Obrázek 12">
          <a:extLst>
            <a:ext uri="{FF2B5EF4-FFF2-40B4-BE49-F238E27FC236}">
              <a16:creationId xmlns:a16="http://schemas.microsoft.com/office/drawing/2014/main" id="{89FC771A-59B0-F41B-E156-F2BCBCD73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91625" y="11087100"/>
          <a:ext cx="8573696" cy="5973009"/>
        </a:xfrm>
        <a:prstGeom prst="rect">
          <a:avLst/>
        </a:prstGeom>
      </xdr:spPr>
    </xdr:pic>
    <xdr:clientData/>
  </xdr:twoCellAnchor>
  <xdr:twoCellAnchor editAs="oneCell">
    <xdr:from>
      <xdr:col>0</xdr:col>
      <xdr:colOff>398318</xdr:colOff>
      <xdr:row>103</xdr:row>
      <xdr:rowOff>121227</xdr:rowOff>
    </xdr:from>
    <xdr:to>
      <xdr:col>7</xdr:col>
      <xdr:colOff>234124</xdr:colOff>
      <xdr:row>142</xdr:row>
      <xdr:rowOff>101292</xdr:rowOff>
    </xdr:to>
    <xdr:pic>
      <xdr:nvPicPr>
        <xdr:cNvPr id="14" name="Obrázek 13">
          <a:extLst>
            <a:ext uri="{FF2B5EF4-FFF2-40B4-BE49-F238E27FC236}">
              <a16:creationId xmlns:a16="http://schemas.microsoft.com/office/drawing/2014/main" id="{C4B76ACA-5227-C766-DA6E-029AE1A1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98318" y="17127682"/>
          <a:ext cx="8564170" cy="6058746"/>
        </a:xfrm>
        <a:prstGeom prst="rect">
          <a:avLst/>
        </a:prstGeom>
      </xdr:spPr>
    </xdr:pic>
    <xdr:clientData/>
  </xdr:twoCellAnchor>
  <xdr:twoCellAnchor editAs="oneCell">
    <xdr:from>
      <xdr:col>7</xdr:col>
      <xdr:colOff>398318</xdr:colOff>
      <xdr:row>103</xdr:row>
      <xdr:rowOff>121227</xdr:rowOff>
    </xdr:from>
    <xdr:to>
      <xdr:col>19</xdr:col>
      <xdr:colOff>224599</xdr:colOff>
      <xdr:row>142</xdr:row>
      <xdr:rowOff>53660</xdr:rowOff>
    </xdr:to>
    <xdr:pic>
      <xdr:nvPicPr>
        <xdr:cNvPr id="15" name="Obrázek 14">
          <a:extLst>
            <a:ext uri="{FF2B5EF4-FFF2-40B4-BE49-F238E27FC236}">
              <a16:creationId xmlns:a16="http://schemas.microsoft.com/office/drawing/2014/main" id="{BEE193CB-C061-C958-CFB8-44772E0E1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126682" y="17127682"/>
          <a:ext cx="8554644" cy="6011114"/>
        </a:xfrm>
        <a:prstGeom prst="rect">
          <a:avLst/>
        </a:prstGeom>
      </xdr:spPr>
    </xdr:pic>
    <xdr:clientData/>
  </xdr:twoCellAnchor>
  <xdr:twoCellAnchor editAs="oneCell">
    <xdr:from>
      <xdr:col>7</xdr:col>
      <xdr:colOff>346364</xdr:colOff>
      <xdr:row>142</xdr:row>
      <xdr:rowOff>86591</xdr:rowOff>
    </xdr:from>
    <xdr:to>
      <xdr:col>19</xdr:col>
      <xdr:colOff>134540</xdr:colOff>
      <xdr:row>181</xdr:row>
      <xdr:rowOff>19023</xdr:rowOff>
    </xdr:to>
    <xdr:pic>
      <xdr:nvPicPr>
        <xdr:cNvPr id="16" name="Obrázek 15">
          <a:extLst>
            <a:ext uri="{FF2B5EF4-FFF2-40B4-BE49-F238E27FC236}">
              <a16:creationId xmlns:a16="http://schemas.microsoft.com/office/drawing/2014/main" id="{9FB05B3E-8CFE-F85D-115F-D3AC38EE0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74728" y="23171727"/>
          <a:ext cx="8516539" cy="6011114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143</xdr:row>
      <xdr:rowOff>17319</xdr:rowOff>
    </xdr:from>
    <xdr:to>
      <xdr:col>7</xdr:col>
      <xdr:colOff>254911</xdr:colOff>
      <xdr:row>182</xdr:row>
      <xdr:rowOff>6909</xdr:rowOff>
    </xdr:to>
    <xdr:pic>
      <xdr:nvPicPr>
        <xdr:cNvPr id="17" name="Obrázek 16">
          <a:extLst>
            <a:ext uri="{FF2B5EF4-FFF2-40B4-BE49-F238E27FC236}">
              <a16:creationId xmlns:a16="http://schemas.microsoft.com/office/drawing/2014/main" id="{37DB0874-3AE4-C93F-41AC-1AABCC40A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81000" y="23258319"/>
          <a:ext cx="8602275" cy="6068272"/>
        </a:xfrm>
        <a:prstGeom prst="rect">
          <a:avLst/>
        </a:prstGeom>
      </xdr:spPr>
    </xdr:pic>
    <xdr:clientData/>
  </xdr:twoCellAnchor>
  <xdr:twoCellAnchor editAs="oneCell">
    <xdr:from>
      <xdr:col>7</xdr:col>
      <xdr:colOff>363682</xdr:colOff>
      <xdr:row>181</xdr:row>
      <xdr:rowOff>69273</xdr:rowOff>
    </xdr:from>
    <xdr:to>
      <xdr:col>19</xdr:col>
      <xdr:colOff>142331</xdr:colOff>
      <xdr:row>220</xdr:row>
      <xdr:rowOff>1705</xdr:rowOff>
    </xdr:to>
    <xdr:pic>
      <xdr:nvPicPr>
        <xdr:cNvPr id="18" name="Obrázek 17">
          <a:extLst>
            <a:ext uri="{FF2B5EF4-FFF2-40B4-BE49-F238E27FC236}">
              <a16:creationId xmlns:a16="http://schemas.microsoft.com/office/drawing/2014/main" id="{C383C049-6433-1512-BAE8-870F5C830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092046" y="29233091"/>
          <a:ext cx="8507012" cy="6011114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182</xdr:row>
      <xdr:rowOff>17319</xdr:rowOff>
    </xdr:from>
    <xdr:to>
      <xdr:col>7</xdr:col>
      <xdr:colOff>197754</xdr:colOff>
      <xdr:row>220</xdr:row>
      <xdr:rowOff>105615</xdr:rowOff>
    </xdr:to>
    <xdr:pic>
      <xdr:nvPicPr>
        <xdr:cNvPr id="19" name="Obrázek 18">
          <a:extLst>
            <a:ext uri="{FF2B5EF4-FFF2-40B4-BE49-F238E27FC236}">
              <a16:creationId xmlns:a16="http://schemas.microsoft.com/office/drawing/2014/main" id="{8DFF6B38-F9E3-E7AA-E00C-504A3BBB8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1000" y="29337001"/>
          <a:ext cx="8545118" cy="6011114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381000</xdr:colOff>
      <xdr:row>221</xdr:row>
      <xdr:rowOff>0</xdr:rowOff>
    </xdr:from>
    <xdr:to>
      <xdr:col>19</xdr:col>
      <xdr:colOff>178702</xdr:colOff>
      <xdr:row>259</xdr:row>
      <xdr:rowOff>78770</xdr:rowOff>
    </xdr:to>
    <xdr:pic>
      <xdr:nvPicPr>
        <xdr:cNvPr id="21" name="Obrázek 20">
          <a:extLst>
            <a:ext uri="{FF2B5EF4-FFF2-40B4-BE49-F238E27FC236}">
              <a16:creationId xmlns:a16="http://schemas.microsoft.com/office/drawing/2014/main" id="{16E2346F-2478-AC5A-5FBD-17FBEDFDA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09364" y="35398364"/>
          <a:ext cx="8526065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277092</xdr:colOff>
      <xdr:row>221</xdr:row>
      <xdr:rowOff>0</xdr:rowOff>
    </xdr:from>
    <xdr:to>
      <xdr:col>7</xdr:col>
      <xdr:colOff>217688</xdr:colOff>
      <xdr:row>259</xdr:row>
      <xdr:rowOff>135928</xdr:rowOff>
    </xdr:to>
    <xdr:pic>
      <xdr:nvPicPr>
        <xdr:cNvPr id="22" name="Obrázek 21">
          <a:extLst>
            <a:ext uri="{FF2B5EF4-FFF2-40B4-BE49-F238E27FC236}">
              <a16:creationId xmlns:a16="http://schemas.microsoft.com/office/drawing/2014/main" id="{395BAAAE-7A89-448B-247E-53E61443B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77092" y="35398364"/>
          <a:ext cx="8668960" cy="6058746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381001</xdr:colOff>
      <xdr:row>260</xdr:row>
      <xdr:rowOff>17319</xdr:rowOff>
    </xdr:from>
    <xdr:to>
      <xdr:col>19</xdr:col>
      <xdr:colOff>226334</xdr:colOff>
      <xdr:row>298</xdr:row>
      <xdr:rowOff>124667</xdr:rowOff>
    </xdr:to>
    <xdr:pic>
      <xdr:nvPicPr>
        <xdr:cNvPr id="23" name="Obrázek 22">
          <a:extLst>
            <a:ext uri="{FF2B5EF4-FFF2-40B4-BE49-F238E27FC236}">
              <a16:creationId xmlns:a16="http://schemas.microsoft.com/office/drawing/2014/main" id="{C708A49D-DC13-23FF-337A-F6FBB6319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109365" y="41494364"/>
          <a:ext cx="8573696" cy="6030167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260</xdr:row>
      <xdr:rowOff>17319</xdr:rowOff>
    </xdr:from>
    <xdr:to>
      <xdr:col>7</xdr:col>
      <xdr:colOff>235859</xdr:colOff>
      <xdr:row>298</xdr:row>
      <xdr:rowOff>115140</xdr:rowOff>
    </xdr:to>
    <xdr:pic>
      <xdr:nvPicPr>
        <xdr:cNvPr id="24" name="Obrázek 23">
          <a:extLst>
            <a:ext uri="{FF2B5EF4-FFF2-40B4-BE49-F238E27FC236}">
              <a16:creationId xmlns:a16="http://schemas.microsoft.com/office/drawing/2014/main" id="{0B540FFC-D24A-8861-45CF-BE8C86986B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381000" y="41494364"/>
          <a:ext cx="8583223" cy="6020640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381000</xdr:colOff>
      <xdr:row>298</xdr:row>
      <xdr:rowOff>138545</xdr:rowOff>
    </xdr:from>
    <xdr:to>
      <xdr:col>19</xdr:col>
      <xdr:colOff>235860</xdr:colOff>
      <xdr:row>337</xdr:row>
      <xdr:rowOff>118610</xdr:rowOff>
    </xdr:to>
    <xdr:pic>
      <xdr:nvPicPr>
        <xdr:cNvPr id="25" name="Obrázek 24">
          <a:extLst>
            <a:ext uri="{FF2B5EF4-FFF2-40B4-BE49-F238E27FC236}">
              <a16:creationId xmlns:a16="http://schemas.microsoft.com/office/drawing/2014/main" id="{B9A3D352-04C4-45E5-0483-6A76C814D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109364" y="47538409"/>
          <a:ext cx="8583223" cy="6058746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299</xdr:row>
      <xdr:rowOff>17318</xdr:rowOff>
    </xdr:from>
    <xdr:to>
      <xdr:col>7</xdr:col>
      <xdr:colOff>169175</xdr:colOff>
      <xdr:row>337</xdr:row>
      <xdr:rowOff>115140</xdr:rowOff>
    </xdr:to>
    <xdr:pic>
      <xdr:nvPicPr>
        <xdr:cNvPr id="26" name="Obrázek 25">
          <a:extLst>
            <a:ext uri="{FF2B5EF4-FFF2-40B4-BE49-F238E27FC236}">
              <a16:creationId xmlns:a16="http://schemas.microsoft.com/office/drawing/2014/main" id="{E3F4FEA9-34A8-0161-C502-1E9F1C45D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81000" y="47573045"/>
          <a:ext cx="8516539" cy="602064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340</xdr:row>
      <xdr:rowOff>0</xdr:rowOff>
    </xdr:from>
    <xdr:to>
      <xdr:col>4</xdr:col>
      <xdr:colOff>556768</xdr:colOff>
      <xdr:row>369</xdr:row>
      <xdr:rowOff>71645</xdr:rowOff>
    </xdr:to>
    <xdr:pic>
      <xdr:nvPicPr>
        <xdr:cNvPr id="27" name="Obrázek 26">
          <a:extLst>
            <a:ext uri="{FF2B5EF4-FFF2-40B4-BE49-F238E27FC236}">
              <a16:creationId xmlns:a16="http://schemas.microsoft.com/office/drawing/2014/main" id="{E85CC6EB-0832-8F23-B336-D177E254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71500" y="53946136"/>
          <a:ext cx="6115904" cy="4591691"/>
        </a:xfrm>
        <a:prstGeom prst="rect">
          <a:avLst/>
        </a:prstGeom>
      </xdr:spPr>
    </xdr:pic>
    <xdr:clientData/>
  </xdr:twoCellAnchor>
  <xdr:twoCellAnchor editAs="oneCell">
    <xdr:from>
      <xdr:col>4</xdr:col>
      <xdr:colOff>1166432</xdr:colOff>
      <xdr:row>340</xdr:row>
      <xdr:rowOff>8151</xdr:rowOff>
    </xdr:from>
    <xdr:to>
      <xdr:col>12</xdr:col>
      <xdr:colOff>730005</xdr:colOff>
      <xdr:row>366</xdr:row>
      <xdr:rowOff>42490</xdr:rowOff>
    </xdr:to>
    <xdr:pic>
      <xdr:nvPicPr>
        <xdr:cNvPr id="28" name="Obrázek 27">
          <a:extLst>
            <a:ext uri="{FF2B5EF4-FFF2-40B4-BE49-F238E27FC236}">
              <a16:creationId xmlns:a16="http://schemas.microsoft.com/office/drawing/2014/main" id="{F65F8C2C-6DFF-F458-145C-3AD4568F5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296050" y="54267033"/>
          <a:ext cx="6141426" cy="4113281"/>
        </a:xfrm>
        <a:prstGeom prst="rect">
          <a:avLst/>
        </a:prstGeom>
      </xdr:spPr>
    </xdr:pic>
    <xdr:clientData/>
  </xdr:twoCellAnchor>
  <xdr:twoCellAnchor editAs="oneCell">
    <xdr:from>
      <xdr:col>0</xdr:col>
      <xdr:colOff>493058</xdr:colOff>
      <xdr:row>369</xdr:row>
      <xdr:rowOff>145676</xdr:rowOff>
    </xdr:from>
    <xdr:to>
      <xdr:col>4</xdr:col>
      <xdr:colOff>517449</xdr:colOff>
      <xdr:row>400</xdr:row>
      <xdr:rowOff>121698</xdr:rowOff>
    </xdr:to>
    <xdr:pic>
      <xdr:nvPicPr>
        <xdr:cNvPr id="29" name="Obrázek 28">
          <a:extLst>
            <a:ext uri="{FF2B5EF4-FFF2-40B4-BE49-F238E27FC236}">
              <a16:creationId xmlns:a16="http://schemas.microsoft.com/office/drawing/2014/main" id="{518B6E55-73AE-038E-1B67-618960AF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493058" y="58954147"/>
          <a:ext cx="6154009" cy="4839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13</xdr:row>
      <xdr:rowOff>180975</xdr:rowOff>
    </xdr:from>
    <xdr:to>
      <xdr:col>16</xdr:col>
      <xdr:colOff>133350</xdr:colOff>
      <xdr:row>28</xdr:row>
      <xdr:rowOff>95250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3EB0B190-1D93-EB28-27E1-1445F99C3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495300</xdr:colOff>
      <xdr:row>33</xdr:row>
      <xdr:rowOff>76200</xdr:rowOff>
    </xdr:from>
    <xdr:to>
      <xdr:col>16</xdr:col>
      <xdr:colOff>190500</xdr:colOff>
      <xdr:row>47</xdr:row>
      <xdr:rowOff>152400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696522A2-EB55-83CE-BDC8-D982E6D2AA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102"/>
  <sheetViews>
    <sheetView tabSelected="1" topLeftCell="A337" zoomScale="85" zoomScaleNormal="85" workbookViewId="0">
      <selection activeCell="O373" sqref="O373"/>
    </sheetView>
  </sheetViews>
  <sheetFormatPr defaultColWidth="8.7109375" defaultRowHeight="12.75" x14ac:dyDescent="0.2"/>
  <cols>
    <col min="1" max="2" width="18" customWidth="1"/>
    <col min="3" max="3" width="20" customWidth="1"/>
    <col min="4" max="4" width="36" customWidth="1"/>
    <col min="5" max="6" width="18" customWidth="1"/>
    <col min="7" max="7" width="3" customWidth="1"/>
    <col min="8" max="15" width="12" customWidth="1"/>
  </cols>
  <sheetData>
    <row r="1" spans="2:6" x14ac:dyDescent="0.2">
      <c r="C1" t="s">
        <v>10</v>
      </c>
      <c r="D1" t="s">
        <v>11</v>
      </c>
    </row>
    <row r="2" spans="2:6" ht="15" x14ac:dyDescent="0.25">
      <c r="B2" s="1" t="s">
        <v>0</v>
      </c>
      <c r="C2" s="1" t="s">
        <v>1</v>
      </c>
      <c r="D2" s="1"/>
    </row>
    <row r="3" spans="2:6" ht="15" x14ac:dyDescent="0.25">
      <c r="B3" t="s">
        <v>2</v>
      </c>
      <c r="C3" s="2">
        <v>60</v>
      </c>
      <c r="D3">
        <v>30</v>
      </c>
    </row>
    <row r="4" spans="2:6" ht="15" x14ac:dyDescent="0.25">
      <c r="B4" t="s">
        <v>3</v>
      </c>
      <c r="C4" s="2">
        <v>5</v>
      </c>
      <c r="D4">
        <v>4</v>
      </c>
    </row>
    <row r="5" spans="2:6" ht="15" x14ac:dyDescent="0.25">
      <c r="B5" t="s">
        <v>4</v>
      </c>
      <c r="C5" s="2">
        <v>3.6999999999999998E-5</v>
      </c>
      <c r="D5">
        <v>5.5999999999999995E-4</v>
      </c>
    </row>
    <row r="7" spans="2:6" ht="17.850000000000001" customHeight="1" x14ac:dyDescent="0.25">
      <c r="B7" s="3" t="s">
        <v>5</v>
      </c>
      <c r="C7" s="3" t="s">
        <v>6</v>
      </c>
      <c r="D7" s="3" t="s">
        <v>7</v>
      </c>
      <c r="E7" s="3" t="s">
        <v>8</v>
      </c>
      <c r="F7" s="3" t="s">
        <v>9</v>
      </c>
    </row>
    <row r="8" spans="2:6" ht="14.1" customHeight="1" x14ac:dyDescent="0.25">
      <c r="B8" s="4">
        <v>1</v>
      </c>
      <c r="C8" s="5">
        <f t="shared" ref="C8:C29" si="0">2*PI()*B8</f>
        <v>6.2831853071795862</v>
      </c>
      <c r="D8" s="5">
        <f>$C$4+(($C$3-$C$4)/(1+(C8*$C$5)^2))</f>
        <v>59.999997027472709</v>
      </c>
      <c r="E8" s="5">
        <f>(($C$3-$C$4)*C8*$C$5)/(1+(C8*$C$5)^2)</f>
        <v>1.2786281409063684E-2</v>
      </c>
      <c r="F8" s="5">
        <f t="shared" ref="F8:F29" si="1">E8/D8</f>
        <v>2.1310470070872039E-4</v>
      </c>
    </row>
    <row r="9" spans="2:6" ht="15" x14ac:dyDescent="0.25">
      <c r="B9" s="4">
        <f>2</f>
        <v>2</v>
      </c>
      <c r="C9" s="5">
        <f t="shared" si="0"/>
        <v>12.566370614359172</v>
      </c>
      <c r="D9" s="5">
        <f t="shared" ref="D9:D29" si="2">$C$4+(($C$3-$C$4)/(1+(C9*$C$5)^2))</f>
        <v>59.999988109892755</v>
      </c>
      <c r="E9" s="5">
        <f t="shared" ref="E9:E29" si="3">(($C$3-$C$4)*C9*$C$5)/(1+(C9*$C$5)^2)</f>
        <v>2.5572558671847625E-2</v>
      </c>
      <c r="F9" s="5">
        <f t="shared" si="1"/>
        <v>4.2620939565871747E-4</v>
      </c>
    </row>
    <row r="10" spans="2:6" ht="15" x14ac:dyDescent="0.25">
      <c r="B10" s="4">
        <f>5</f>
        <v>5</v>
      </c>
      <c r="C10" s="5">
        <f t="shared" si="0"/>
        <v>31.415926535897931</v>
      </c>
      <c r="D10" s="5">
        <f t="shared" si="2"/>
        <v>59.999925686914068</v>
      </c>
      <c r="E10" s="5">
        <f t="shared" si="3"/>
        <v>6.3931324119817695E-2</v>
      </c>
      <c r="F10" s="5">
        <f t="shared" si="1"/>
        <v>1.065523388369147E-3</v>
      </c>
    </row>
    <row r="11" spans="2:6" ht="15" x14ac:dyDescent="0.25">
      <c r="B11" s="4">
        <f>B8*10</f>
        <v>10</v>
      </c>
      <c r="C11" s="5">
        <f t="shared" si="0"/>
        <v>62.831853071795862</v>
      </c>
      <c r="D11" s="5">
        <f t="shared" si="2"/>
        <v>59.999702748861168</v>
      </c>
      <c r="E11" s="5">
        <f t="shared" si="3"/>
        <v>0.12786212995802898</v>
      </c>
      <c r="F11" s="5">
        <f t="shared" si="1"/>
        <v>2.1310460568982714E-3</v>
      </c>
    </row>
    <row r="12" spans="2:6" ht="15" x14ac:dyDescent="0.25">
      <c r="B12" s="4">
        <f t="shared" ref="B12:B29" si="4">B9*10</f>
        <v>20</v>
      </c>
      <c r="C12" s="5">
        <f t="shared" si="0"/>
        <v>125.66370614359172</v>
      </c>
      <c r="D12" s="5">
        <f t="shared" si="2"/>
        <v>59.998811014722534</v>
      </c>
      <c r="E12" s="5">
        <f t="shared" si="3"/>
        <v>0.25572011374723802</v>
      </c>
      <c r="F12" s="5">
        <f t="shared" si="1"/>
        <v>4.2620863550860916E-3</v>
      </c>
    </row>
    <row r="13" spans="2:6" ht="15" x14ac:dyDescent="0.25">
      <c r="B13" s="4">
        <f t="shared" si="4"/>
        <v>50</v>
      </c>
      <c r="C13" s="5">
        <f t="shared" si="0"/>
        <v>314.15926535897933</v>
      </c>
      <c r="D13" s="5">
        <f t="shared" si="2"/>
        <v>59.992569685312304</v>
      </c>
      <c r="E13" s="5">
        <f t="shared" si="3"/>
        <v>0.63922773582398695</v>
      </c>
      <c r="F13" s="5">
        <f t="shared" si="1"/>
        <v>1.0655115111371634E-2</v>
      </c>
    </row>
    <row r="14" spans="2:6" ht="15" x14ac:dyDescent="0.25">
      <c r="B14" s="4">
        <f t="shared" si="4"/>
        <v>100</v>
      </c>
      <c r="C14" s="5">
        <f t="shared" si="0"/>
        <v>628.31853071795865</v>
      </c>
      <c r="D14" s="5">
        <f t="shared" si="2"/>
        <v>59.970290782094956</v>
      </c>
      <c r="E14" s="5">
        <f t="shared" si="3"/>
        <v>1.2779375364817593</v>
      </c>
      <c r="F14" s="5">
        <f t="shared" si="1"/>
        <v>2.1309510422839354E-2</v>
      </c>
    </row>
    <row r="15" spans="2:6" ht="15" x14ac:dyDescent="0.25">
      <c r="B15" s="4">
        <f t="shared" si="4"/>
        <v>200</v>
      </c>
      <c r="C15" s="5">
        <f t="shared" si="0"/>
        <v>1256.6370614359173</v>
      </c>
      <c r="D15" s="5">
        <f t="shared" si="2"/>
        <v>59.881355392298182</v>
      </c>
      <c r="E15" s="5">
        <f t="shared" si="3"/>
        <v>2.5517399712085194</v>
      </c>
      <c r="F15" s="5">
        <f t="shared" si="1"/>
        <v>4.2613263418829012E-2</v>
      </c>
    </row>
    <row r="16" spans="2:6" ht="15" x14ac:dyDescent="0.25">
      <c r="B16" s="4">
        <f t="shared" si="4"/>
        <v>500</v>
      </c>
      <c r="C16" s="5">
        <f t="shared" si="0"/>
        <v>3141.5926535897929</v>
      </c>
      <c r="D16" s="5">
        <f t="shared" si="2"/>
        <v>59.266775096417717</v>
      </c>
      <c r="E16" s="5">
        <f t="shared" si="3"/>
        <v>6.3079117731458707</v>
      </c>
      <c r="F16" s="5">
        <f t="shared" si="1"/>
        <v>0.10643251236268365</v>
      </c>
    </row>
    <row r="17" spans="2:6" ht="15" x14ac:dyDescent="0.25">
      <c r="B17" s="4">
        <f t="shared" si="4"/>
        <v>1000</v>
      </c>
      <c r="C17" s="5">
        <f t="shared" si="0"/>
        <v>6283.1853071795858</v>
      </c>
      <c r="D17" s="5">
        <f t="shared" si="2"/>
        <v>57.179888179367659</v>
      </c>
      <c r="E17" s="5">
        <f t="shared" si="3"/>
        <v>12.130668549338434</v>
      </c>
      <c r="F17" s="5">
        <f t="shared" si="1"/>
        <v>0.21214921776841755</v>
      </c>
    </row>
    <row r="18" spans="2:6" ht="15" x14ac:dyDescent="0.25">
      <c r="B18" s="4">
        <f t="shared" si="4"/>
        <v>2000</v>
      </c>
      <c r="C18" s="5">
        <f t="shared" si="0"/>
        <v>12566.370614359172</v>
      </c>
      <c r="D18" s="5">
        <f t="shared" si="2"/>
        <v>50.223427026924057</v>
      </c>
      <c r="E18" s="5">
        <f t="shared" si="3"/>
        <v>21.026890745454928</v>
      </c>
      <c r="F18" s="5">
        <f t="shared" si="1"/>
        <v>0.41866698451666218</v>
      </c>
    </row>
    <row r="19" spans="2:6" ht="15" x14ac:dyDescent="0.25">
      <c r="B19" s="4">
        <f t="shared" si="4"/>
        <v>5000</v>
      </c>
      <c r="C19" s="5">
        <f t="shared" si="0"/>
        <v>31415.926535897932</v>
      </c>
      <c r="D19" s="5">
        <f t="shared" si="2"/>
        <v>28.392819291399821</v>
      </c>
      <c r="E19" s="5">
        <f t="shared" si="3"/>
        <v>27.191562416067644</v>
      </c>
      <c r="F19" s="5">
        <f t="shared" si="1"/>
        <v>0.9576915253464795</v>
      </c>
    </row>
    <row r="20" spans="2:6" ht="15" x14ac:dyDescent="0.25">
      <c r="B20" s="4">
        <f t="shared" si="4"/>
        <v>10000</v>
      </c>
      <c r="C20" s="5">
        <f t="shared" si="0"/>
        <v>62831.853071795864</v>
      </c>
      <c r="D20" s="5">
        <f t="shared" si="2"/>
        <v>13.587583886612698</v>
      </c>
      <c r="E20" s="5">
        <f t="shared" si="3"/>
        <v>19.964230933198714</v>
      </c>
      <c r="F20" s="5">
        <f t="shared" si="1"/>
        <v>1.4692995531654947</v>
      </c>
    </row>
    <row r="21" spans="2:6" ht="15" x14ac:dyDescent="0.25">
      <c r="B21" s="4">
        <f t="shared" si="4"/>
        <v>20000</v>
      </c>
      <c r="C21" s="5">
        <f t="shared" si="0"/>
        <v>125663.70614359173</v>
      </c>
      <c r="D21" s="5">
        <f t="shared" si="2"/>
        <v>7.4316505603319882</v>
      </c>
      <c r="E21" s="5">
        <f t="shared" si="3"/>
        <v>11.306098193925989</v>
      </c>
      <c r="F21" s="5">
        <f t="shared" si="1"/>
        <v>1.521344161992046</v>
      </c>
    </row>
    <row r="22" spans="2:6" ht="15" x14ac:dyDescent="0.25">
      <c r="B22" s="4">
        <f t="shared" si="4"/>
        <v>50000</v>
      </c>
      <c r="C22" s="5">
        <f t="shared" si="0"/>
        <v>314159.26535897929</v>
      </c>
      <c r="D22" s="5">
        <f t="shared" si="2"/>
        <v>5.4040704314056747</v>
      </c>
      <c r="E22" s="5">
        <f t="shared" si="3"/>
        <v>4.6968713856966264</v>
      </c>
      <c r="F22" s="5">
        <f t="shared" si="1"/>
        <v>0.86913585700157203</v>
      </c>
    </row>
    <row r="23" spans="2:6" ht="15" x14ac:dyDescent="0.25">
      <c r="B23" s="4">
        <f t="shared" si="4"/>
        <v>100000</v>
      </c>
      <c r="C23" s="5">
        <f t="shared" si="0"/>
        <v>628318.53071795858</v>
      </c>
      <c r="D23" s="5">
        <f t="shared" si="2"/>
        <v>5.1015773040112302</v>
      </c>
      <c r="E23" s="5">
        <f t="shared" si="3"/>
        <v>2.3614473891932191</v>
      </c>
      <c r="F23" s="5">
        <f t="shared" si="1"/>
        <v>0.46288574071718519</v>
      </c>
    </row>
    <row r="24" spans="2:6" ht="15" x14ac:dyDescent="0.25">
      <c r="B24" s="4">
        <f t="shared" si="4"/>
        <v>200000</v>
      </c>
      <c r="C24" s="5">
        <f t="shared" si="0"/>
        <v>1256637.0614359172</v>
      </c>
      <c r="D24" s="5">
        <f t="shared" si="2"/>
        <v>5.0254295496177033</v>
      </c>
      <c r="E24" s="5">
        <f t="shared" si="3"/>
        <v>1.1823614366935118</v>
      </c>
      <c r="F24" s="5">
        <f t="shared" si="1"/>
        <v>0.23527569633991924</v>
      </c>
    </row>
    <row r="25" spans="2:6" ht="15" x14ac:dyDescent="0.25">
      <c r="B25" s="4">
        <f t="shared" si="4"/>
        <v>500000</v>
      </c>
      <c r="C25" s="5">
        <f t="shared" si="0"/>
        <v>3141592.653589793</v>
      </c>
      <c r="D25" s="5">
        <f t="shared" si="2"/>
        <v>5.0040703087595526</v>
      </c>
      <c r="E25" s="5">
        <f t="shared" si="3"/>
        <v>0.47312832758352713</v>
      </c>
      <c r="F25" s="5">
        <f t="shared" si="1"/>
        <v>9.4548697038753196E-2</v>
      </c>
    </row>
    <row r="26" spans="2:6" ht="15" x14ac:dyDescent="0.25">
      <c r="B26" s="4">
        <f t="shared" si="4"/>
        <v>1000000</v>
      </c>
      <c r="C26" s="5">
        <f t="shared" si="0"/>
        <v>6283185.307179586</v>
      </c>
      <c r="D26" s="5">
        <f t="shared" si="2"/>
        <v>5.0010176336728414</v>
      </c>
      <c r="E26" s="5">
        <f t="shared" si="3"/>
        <v>0.23657729482770151</v>
      </c>
      <c r="F26" s="5">
        <f t="shared" si="1"/>
        <v>4.7305830964238113E-2</v>
      </c>
    </row>
    <row r="27" spans="2:6" ht="15" x14ac:dyDescent="0.25">
      <c r="B27" s="4">
        <f t="shared" si="4"/>
        <v>2000000</v>
      </c>
      <c r="C27" s="5">
        <f t="shared" si="0"/>
        <v>12566370.614359172</v>
      </c>
      <c r="D27" s="5">
        <f t="shared" si="2"/>
        <v>5.0002544119486396</v>
      </c>
      <c r="E27" s="5">
        <f t="shared" si="3"/>
        <v>0.11829028890723024</v>
      </c>
      <c r="F27" s="5">
        <f t="shared" si="1"/>
        <v>2.3656854064177817E-2</v>
      </c>
    </row>
    <row r="28" spans="2:6" ht="15" x14ac:dyDescent="0.25">
      <c r="B28" s="4">
        <f t="shared" si="4"/>
        <v>5000000</v>
      </c>
      <c r="C28" s="5">
        <f t="shared" si="0"/>
        <v>31415926.535897933</v>
      </c>
      <c r="D28" s="5">
        <f t="shared" si="2"/>
        <v>5.0000407060699485</v>
      </c>
      <c r="E28" s="5">
        <f t="shared" si="3"/>
        <v>4.731629941341621E-2</v>
      </c>
      <c r="F28" s="5">
        <f t="shared" si="1"/>
        <v>9.4631828408867098E-3</v>
      </c>
    </row>
    <row r="29" spans="2:6" ht="15" x14ac:dyDescent="0.25">
      <c r="B29" s="4">
        <f t="shared" si="4"/>
        <v>10000000</v>
      </c>
      <c r="C29" s="5">
        <f t="shared" si="0"/>
        <v>62831853.071795866</v>
      </c>
      <c r="D29" s="5">
        <f t="shared" si="2"/>
        <v>5.0000101765231362</v>
      </c>
      <c r="E29" s="5">
        <f t="shared" si="3"/>
        <v>2.3658162838946714E-2</v>
      </c>
      <c r="F29" s="5">
        <f t="shared" si="1"/>
        <v>4.7316229374952841E-3</v>
      </c>
    </row>
    <row r="102" spans="2:10" x14ac:dyDescent="0.2">
      <c r="B102" t="s">
        <v>10</v>
      </c>
      <c r="J102" t="s">
        <v>11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7AEB8-48C2-4C81-8ED0-B69297BD86BF}">
  <dimension ref="B4:N57"/>
  <sheetViews>
    <sheetView topLeftCell="C21" workbookViewId="0">
      <selection activeCell="E46" sqref="E46"/>
    </sheetView>
  </sheetViews>
  <sheetFormatPr defaultRowHeight="12.75" x14ac:dyDescent="0.2"/>
  <cols>
    <col min="2" max="2" width="13.42578125" customWidth="1"/>
    <col min="3" max="3" width="15.42578125" customWidth="1"/>
    <col min="4" max="4" width="16.85546875" customWidth="1"/>
    <col min="5" max="5" width="19.5703125" customWidth="1"/>
    <col min="6" max="8" width="30.42578125" customWidth="1"/>
  </cols>
  <sheetData>
    <row r="4" spans="2:14" ht="15" x14ac:dyDescent="0.25">
      <c r="B4" s="3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16</v>
      </c>
      <c r="H4" s="3" t="s">
        <v>18</v>
      </c>
    </row>
    <row r="5" spans="2:14" ht="15" x14ac:dyDescent="0.25">
      <c r="B5" s="3">
        <v>0</v>
      </c>
      <c r="C5" s="5">
        <f t="shared" ref="C5:C27" si="0">2*PI()*B5</f>
        <v>0</v>
      </c>
      <c r="D5" s="5">
        <f>$K$8+G5^($K$7-2)*($K$9-$K$8)*COS($K$7*H5)</f>
        <v>3.6280000000000001</v>
      </c>
      <c r="E5" s="5">
        <f>G5^(-$K$7/2)*($K$9-$K$8)*SIN($K$7*H5)</f>
        <v>0</v>
      </c>
      <c r="F5" s="5">
        <f t="shared" ref="F5:F27" si="1">E5/D5</f>
        <v>0</v>
      </c>
      <c r="G5" s="5">
        <f>((1+((C5*$K$10)^(1-$K$6))*(SIN(($K$6*PI())/2)))^2)+((((C5*$K$10)^(1-$K$6))*(COS(($K$6*PI())/2)))^2)</f>
        <v>1</v>
      </c>
      <c r="H5" s="5">
        <f>ATAN(((C5*$K$10)^(1-$K$6)*COS($K$6*(PI()/2)))/(1+(C5*$K$10)^(1-$K$6)*SIN($K$6*(PI()/2))))</f>
        <v>0</v>
      </c>
    </row>
    <row r="6" spans="2:14" ht="15" x14ac:dyDescent="0.25">
      <c r="B6" s="4">
        <v>1</v>
      </c>
      <c r="C6" s="5">
        <f t="shared" si="0"/>
        <v>6.2831853071795862</v>
      </c>
      <c r="D6" s="5">
        <f>$K$8+G6^($K$7-2)*($K$9-$K$8)*COS($K$7*H6)</f>
        <v>3.6185002945342086</v>
      </c>
      <c r="E6" s="5">
        <f>G6^(-$K$7/2)*($K$9-$K$8)*SIN($K$7*H6)</f>
        <v>2.0563766275351501E-3</v>
      </c>
      <c r="F6" s="5">
        <f t="shared" si="1"/>
        <v>5.6829527709071454E-4</v>
      </c>
      <c r="G6" s="5">
        <f>((1+((C6*$K$10)^(1-$K$6))*(SIN(($K$6*PI())/2)))^2)+((((C6*$K$10)^(1-$K$6))*(COS(($K$6*PI())/2)))^2)</f>
        <v>1.0105371140246531</v>
      </c>
      <c r="H6" s="5">
        <f>ATAN(((C6*$K$10)^(1-$K$6)*COS($K$6*(PI()/2)))/(1+(C6*$K$10)^(1-$K$6)*SIN($K$6*(PI()/2))))</f>
        <v>1.4942149596621664E-2</v>
      </c>
      <c r="J6" s="6" t="s">
        <v>12</v>
      </c>
      <c r="K6" s="6">
        <v>0.21</v>
      </c>
      <c r="L6">
        <v>0.3</v>
      </c>
      <c r="N6" s="6">
        <v>0.21</v>
      </c>
    </row>
    <row r="7" spans="2:14" ht="15" x14ac:dyDescent="0.25">
      <c r="B7" s="4">
        <f>2</f>
        <v>2</v>
      </c>
      <c r="C7" s="5">
        <f t="shared" si="0"/>
        <v>12.566370614359172</v>
      </c>
      <c r="D7" s="5">
        <f t="shared" ref="D7:D27" si="2">$K$8+G7^($K$7-2)*($K$9-$K$8)*COS($K$7*H7)</f>
        <v>3.6114622758015424</v>
      </c>
      <c r="E7" s="5">
        <f t="shared" ref="E7:E27" si="3">G7^(-$K$7/2)*($K$9-$K$8)*SIN($K$7*H7)</f>
        <v>3.5382215177345092E-3</v>
      </c>
      <c r="F7" s="5">
        <f t="shared" si="1"/>
        <v>9.7971991606896178E-4</v>
      </c>
      <c r="G7" s="5">
        <f t="shared" ref="G7:G27" si="4">((1+((C7*$K$10)^(1-$K$6))*(SIN(($K$6*PI())/2)))^2)+((((C7*$K$10)^(1-$K$6))*(COS(($K$6*PI())/2)))^2)</f>
        <v>1.018537194152036</v>
      </c>
      <c r="H7" s="5">
        <f t="shared" ref="H7:H27" si="5">ATAN(((C7*$K$10)^(1-$K$6)*COS($K$6*(PI()/2)))/(1+(C7*$K$10)^(1-$K$6)*SIN($K$6*(PI()/2))))</f>
        <v>2.5736308146798118E-2</v>
      </c>
      <c r="J7" s="6" t="s">
        <v>13</v>
      </c>
      <c r="K7" s="6">
        <v>0.26200000000000001</v>
      </c>
      <c r="L7">
        <v>0.30599999999999999</v>
      </c>
      <c r="N7" s="6">
        <v>0.26200000000000001</v>
      </c>
    </row>
    <row r="8" spans="2:14" ht="15" x14ac:dyDescent="0.25">
      <c r="B8" s="4">
        <f>5</f>
        <v>5</v>
      </c>
      <c r="C8" s="5">
        <f t="shared" si="0"/>
        <v>31.415926535897931</v>
      </c>
      <c r="D8" s="5">
        <f t="shared" si="2"/>
        <v>3.5933898162293172</v>
      </c>
      <c r="E8" s="5">
        <f t="shared" si="3"/>
        <v>7.204694648713315E-3</v>
      </c>
      <c r="F8" s="5">
        <f t="shared" si="1"/>
        <v>2.0049855476780639E-3</v>
      </c>
      <c r="G8" s="5">
        <f t="shared" si="4"/>
        <v>1.0398821818136945</v>
      </c>
      <c r="H8" s="5">
        <f t="shared" si="5"/>
        <v>5.2549330363416316E-2</v>
      </c>
      <c r="J8" s="6" t="s">
        <v>14</v>
      </c>
      <c r="K8" s="6">
        <v>3.1019999999999999</v>
      </c>
      <c r="L8">
        <v>2.5299999999999998</v>
      </c>
      <c r="N8" s="6">
        <v>3.1019999999999999</v>
      </c>
    </row>
    <row r="9" spans="2:14" ht="15" x14ac:dyDescent="0.25">
      <c r="B9" s="4">
        <f>B6*10</f>
        <v>10</v>
      </c>
      <c r="C9" s="5">
        <f t="shared" si="0"/>
        <v>62.831853071795862</v>
      </c>
      <c r="D9" s="5">
        <f t="shared" si="2"/>
        <v>3.5672475089287792</v>
      </c>
      <c r="E9" s="5">
        <f t="shared" si="3"/>
        <v>1.2223404542048457E-2</v>
      </c>
      <c r="F9" s="5">
        <f t="shared" si="1"/>
        <v>3.4265647425510614E-3</v>
      </c>
      <c r="G9" s="5">
        <f t="shared" si="4"/>
        <v>1.0729998415662521</v>
      </c>
      <c r="H9" s="5">
        <f t="shared" si="5"/>
        <v>8.9526896462466934E-2</v>
      </c>
      <c r="J9" s="6" t="s">
        <v>15</v>
      </c>
      <c r="K9" s="6">
        <v>3.6280000000000001</v>
      </c>
      <c r="L9">
        <v>6.1</v>
      </c>
      <c r="N9" s="6">
        <v>3.6280000000000001</v>
      </c>
    </row>
    <row r="10" spans="2:14" ht="15" x14ac:dyDescent="0.25">
      <c r="B10" s="4">
        <f t="shared" ref="B10:B27" si="6">B7*10</f>
        <v>20</v>
      </c>
      <c r="C10" s="5">
        <f t="shared" si="0"/>
        <v>125.66370614359172</v>
      </c>
      <c r="D10" s="5">
        <f t="shared" si="2"/>
        <v>3.5216348937957167</v>
      </c>
      <c r="E10" s="5">
        <f t="shared" si="3"/>
        <v>2.0408293616863311E-2</v>
      </c>
      <c r="F10" s="5">
        <f t="shared" si="1"/>
        <v>5.7951190944915592E-3</v>
      </c>
      <c r="G10" s="5">
        <f t="shared" si="4"/>
        <v>1.1383022762230559</v>
      </c>
      <c r="H10" s="5">
        <f t="shared" si="5"/>
        <v>0.15066146722177184</v>
      </c>
      <c r="J10" s="6" t="s">
        <v>17</v>
      </c>
      <c r="K10" s="7">
        <v>8.4000000000000003E-4</v>
      </c>
      <c r="L10">
        <v>2.65E-3</v>
      </c>
      <c r="N10" s="7">
        <v>8.4000000000000003E-4</v>
      </c>
    </row>
    <row r="11" spans="2:14" ht="15" x14ac:dyDescent="0.25">
      <c r="B11" s="4">
        <f t="shared" si="6"/>
        <v>50</v>
      </c>
      <c r="C11" s="5">
        <f t="shared" si="0"/>
        <v>314.15926535897933</v>
      </c>
      <c r="D11" s="5">
        <f t="shared" si="2"/>
        <v>3.4141326905547533</v>
      </c>
      <c r="E11" s="5">
        <f t="shared" si="3"/>
        <v>3.8188785471933009E-2</v>
      </c>
      <c r="F11" s="5">
        <f t="shared" si="1"/>
        <v>1.118550124826221E-2</v>
      </c>
      <c r="G11" s="5">
        <f t="shared" si="4"/>
        <v>1.3480074323912106</v>
      </c>
      <c r="H11" s="5">
        <f t="shared" si="5"/>
        <v>0.28843765094405788</v>
      </c>
    </row>
    <row r="12" spans="2:14" ht="15" x14ac:dyDescent="0.25">
      <c r="B12" s="4">
        <f t="shared" si="6"/>
        <v>100</v>
      </c>
      <c r="C12" s="5">
        <f t="shared" si="0"/>
        <v>628.31853071795865</v>
      </c>
      <c r="D12" s="5">
        <f t="shared" si="2"/>
        <v>3.2984785881356098</v>
      </c>
      <c r="E12" s="5">
        <f t="shared" si="3"/>
        <v>5.6917943707373249E-2</v>
      </c>
      <c r="F12" s="5">
        <f t="shared" si="1"/>
        <v>1.7255817246200414E-2</v>
      </c>
      <c r="G12" s="5">
        <f t="shared" si="4"/>
        <v>1.755349311430968</v>
      </c>
      <c r="H12" s="5">
        <f t="shared" si="5"/>
        <v>0.4456161041877999</v>
      </c>
    </row>
    <row r="13" spans="2:14" ht="15" x14ac:dyDescent="0.25">
      <c r="B13" s="4">
        <f t="shared" si="6"/>
        <v>200</v>
      </c>
      <c r="C13" s="5">
        <f t="shared" si="0"/>
        <v>1256.6370614359173</v>
      </c>
      <c r="D13" s="5">
        <f t="shared" si="2"/>
        <v>3.1905477861659191</v>
      </c>
      <c r="E13" s="5">
        <f t="shared" si="3"/>
        <v>7.6327239813159392E-2</v>
      </c>
      <c r="F13" s="5">
        <f t="shared" si="1"/>
        <v>2.3922926384024427E-2</v>
      </c>
      <c r="G13" s="5">
        <f t="shared" si="4"/>
        <v>2.7653283447139971</v>
      </c>
      <c r="H13" s="5">
        <f t="shared" si="5"/>
        <v>0.63572789403031993</v>
      </c>
    </row>
    <row r="14" spans="2:14" ht="15" x14ac:dyDescent="0.25">
      <c r="B14" s="4">
        <f t="shared" si="6"/>
        <v>500</v>
      </c>
      <c r="C14" s="5">
        <f t="shared" si="0"/>
        <v>3141.5926535897929</v>
      </c>
      <c r="D14" s="5">
        <f t="shared" si="2"/>
        <v>3.1192869877664937</v>
      </c>
      <c r="E14" s="5">
        <f t="shared" si="3"/>
        <v>9.2691171372652092E-2</v>
      </c>
      <c r="F14" s="5">
        <f t="shared" si="1"/>
        <v>2.9715499643404676E-2</v>
      </c>
      <c r="G14" s="5">
        <f t="shared" si="4"/>
        <v>7.0273740152698956</v>
      </c>
      <c r="H14" s="5">
        <f t="shared" si="5"/>
        <v>0.87599309412281789</v>
      </c>
    </row>
    <row r="15" spans="2:14" ht="15" x14ac:dyDescent="0.25">
      <c r="B15" s="4">
        <f t="shared" si="6"/>
        <v>1000</v>
      </c>
      <c r="C15" s="5">
        <f t="shared" si="0"/>
        <v>6283.1853071795858</v>
      </c>
      <c r="D15" s="5">
        <f t="shared" si="2"/>
        <v>3.1055932672492657</v>
      </c>
      <c r="E15" s="5">
        <f t="shared" si="3"/>
        <v>9.4836082750260522E-2</v>
      </c>
      <c r="F15" s="5">
        <f t="shared" si="1"/>
        <v>3.0537187129549715E-2</v>
      </c>
      <c r="G15" s="5">
        <f t="shared" si="4"/>
        <v>17.262192761947858</v>
      </c>
      <c r="H15" s="5">
        <f t="shared" si="5"/>
        <v>1.0112037204674964</v>
      </c>
    </row>
    <row r="16" spans="2:14" ht="15" x14ac:dyDescent="0.25">
      <c r="B16" s="4">
        <f t="shared" si="6"/>
        <v>2000</v>
      </c>
      <c r="C16" s="5">
        <f t="shared" si="0"/>
        <v>12566.370614359172</v>
      </c>
      <c r="D16" s="5">
        <f t="shared" si="2"/>
        <v>3.1026357801911968</v>
      </c>
      <c r="E16" s="5">
        <f t="shared" si="3"/>
        <v>9.0537865347350213E-2</v>
      </c>
      <c r="F16" s="5">
        <f t="shared" si="1"/>
        <v>2.9180951862087696E-2</v>
      </c>
      <c r="G16" s="5">
        <f t="shared" si="4"/>
        <v>46.579619993747301</v>
      </c>
      <c r="H16" s="5">
        <f t="shared" si="5"/>
        <v>1.1018591917939096</v>
      </c>
    </row>
    <row r="17" spans="2:8" ht="15" x14ac:dyDescent="0.25">
      <c r="B17" s="4">
        <f t="shared" si="6"/>
        <v>5000</v>
      </c>
      <c r="C17" s="5">
        <f t="shared" si="0"/>
        <v>31415.926535897932</v>
      </c>
      <c r="D17" s="5">
        <f t="shared" si="2"/>
        <v>3.1020571283379081</v>
      </c>
      <c r="E17" s="5">
        <f t="shared" si="3"/>
        <v>8.0157890395574208E-2</v>
      </c>
      <c r="F17" s="5">
        <f t="shared" si="1"/>
        <v>2.5840236681431799E-2</v>
      </c>
      <c r="G17" s="5">
        <f t="shared" si="4"/>
        <v>185.73795065232423</v>
      </c>
      <c r="H17" s="5">
        <f t="shared" si="5"/>
        <v>1.1714539585544284</v>
      </c>
    </row>
    <row r="18" spans="2:8" ht="15" x14ac:dyDescent="0.25">
      <c r="B18" s="4">
        <f t="shared" si="6"/>
        <v>10000</v>
      </c>
      <c r="C18" s="5">
        <f t="shared" si="0"/>
        <v>62831.853071795864</v>
      </c>
      <c r="D18" s="5">
        <f t="shared" si="2"/>
        <v>3.1020088470652487</v>
      </c>
      <c r="E18" s="5">
        <f t="shared" si="3"/>
        <v>7.1316576748454458E-2</v>
      </c>
      <c r="F18" s="5">
        <f t="shared" si="1"/>
        <v>2.2990449178094934E-2</v>
      </c>
      <c r="G18" s="5">
        <f t="shared" si="4"/>
        <v>542.47203051575229</v>
      </c>
      <c r="H18" s="5">
        <f t="shared" si="5"/>
        <v>1.2002977578150953</v>
      </c>
    </row>
    <row r="19" spans="2:8" ht="15" x14ac:dyDescent="0.25">
      <c r="B19" s="4">
        <f t="shared" si="6"/>
        <v>20000</v>
      </c>
      <c r="C19" s="5">
        <f t="shared" si="0"/>
        <v>125663.70614359173</v>
      </c>
      <c r="D19" s="5">
        <f t="shared" si="2"/>
        <v>3.1020013465911194</v>
      </c>
      <c r="E19" s="5">
        <f t="shared" si="3"/>
        <v>6.2735348774298261E-2</v>
      </c>
      <c r="F19" s="5">
        <f t="shared" si="1"/>
        <v>2.0224152656555094E-2</v>
      </c>
      <c r="G19" s="5">
        <f t="shared" si="4"/>
        <v>1601.0971223252834</v>
      </c>
      <c r="H19" s="5">
        <f t="shared" si="5"/>
        <v>1.2172828656328352</v>
      </c>
    </row>
    <row r="20" spans="2:8" ht="15" x14ac:dyDescent="0.25">
      <c r="B20" s="4">
        <f t="shared" si="6"/>
        <v>50000</v>
      </c>
      <c r="C20" s="5">
        <f t="shared" si="0"/>
        <v>314159.26535897929</v>
      </c>
      <c r="D20" s="5">
        <f t="shared" si="2"/>
        <v>3.1020001103190191</v>
      </c>
      <c r="E20" s="5">
        <f t="shared" si="3"/>
        <v>5.2457155818781506E-2</v>
      </c>
      <c r="F20" s="5">
        <f t="shared" si="1"/>
        <v>1.6910752402709183E-2</v>
      </c>
      <c r="G20" s="5">
        <f t="shared" si="4"/>
        <v>6750.6715791334236</v>
      </c>
      <c r="H20" s="5">
        <f t="shared" si="5"/>
        <v>1.2294140322268887</v>
      </c>
    </row>
    <row r="21" spans="2:8" ht="15" x14ac:dyDescent="0.25">
      <c r="B21" s="4">
        <f t="shared" si="6"/>
        <v>100000</v>
      </c>
      <c r="C21" s="5">
        <f t="shared" si="0"/>
        <v>628318.53071795858</v>
      </c>
      <c r="D21" s="5">
        <f t="shared" si="2"/>
        <v>3.1020000165349875</v>
      </c>
      <c r="E21" s="5">
        <f t="shared" si="3"/>
        <v>4.5639408253272992E-2</v>
      </c>
      <c r="F21" s="5">
        <f t="shared" si="1"/>
        <v>1.4712897488715479E-2</v>
      </c>
      <c r="G21" s="5">
        <f t="shared" si="4"/>
        <v>20113.651829978717</v>
      </c>
      <c r="H21" s="5">
        <f t="shared" si="5"/>
        <v>1.2342581421296051</v>
      </c>
    </row>
    <row r="22" spans="2:8" ht="15" x14ac:dyDescent="0.25">
      <c r="B22" s="4">
        <f t="shared" si="6"/>
        <v>200000</v>
      </c>
      <c r="C22" s="5">
        <f t="shared" si="0"/>
        <v>1256637.0614359172</v>
      </c>
      <c r="D22" s="5">
        <f t="shared" si="2"/>
        <v>3.1020000024724816</v>
      </c>
      <c r="E22" s="5">
        <f t="shared" si="3"/>
        <v>3.9636628071169216E-2</v>
      </c>
      <c r="F22" s="5">
        <f t="shared" si="1"/>
        <v>1.2777765325459841E-2</v>
      </c>
      <c r="G22" s="5">
        <f t="shared" si="4"/>
        <v>60016.208922231272</v>
      </c>
      <c r="H22" s="5">
        <f t="shared" si="5"/>
        <v>1.237067232867352</v>
      </c>
    </row>
    <row r="23" spans="2:8" ht="15" x14ac:dyDescent="0.25">
      <c r="B23" s="4">
        <f t="shared" si="6"/>
        <v>500000</v>
      </c>
      <c r="C23" s="5">
        <f t="shared" si="0"/>
        <v>3141592.653589793</v>
      </c>
      <c r="D23" s="5">
        <f t="shared" si="2"/>
        <v>3.1020000002001402</v>
      </c>
      <c r="E23" s="5">
        <f t="shared" si="3"/>
        <v>3.2845963726532784E-2</v>
      </c>
      <c r="F23" s="5">
        <f t="shared" si="1"/>
        <v>1.0588640788012112E-2</v>
      </c>
      <c r="G23" s="5">
        <f t="shared" si="4"/>
        <v>254927.69118204704</v>
      </c>
      <c r="H23" s="5">
        <f t="shared" si="5"/>
        <v>1.2390553031954019</v>
      </c>
    </row>
    <row r="24" spans="2:8" ht="15" x14ac:dyDescent="0.25">
      <c r="B24" s="4">
        <f t="shared" si="6"/>
        <v>1000000</v>
      </c>
      <c r="C24" s="5">
        <f t="shared" si="0"/>
        <v>6283185.307179586</v>
      </c>
      <c r="D24" s="5">
        <f t="shared" si="2"/>
        <v>3.1020000000298587</v>
      </c>
      <c r="E24" s="5">
        <f t="shared" si="3"/>
        <v>2.8475586771830031E-2</v>
      </c>
      <c r="F24" s="5">
        <f t="shared" si="1"/>
        <v>9.1797507322875366E-3</v>
      </c>
      <c r="G24" s="5">
        <f t="shared" si="4"/>
        <v>761742.86802749359</v>
      </c>
      <c r="H24" s="5">
        <f t="shared" si="5"/>
        <v>1.2398451058404625</v>
      </c>
    </row>
    <row r="25" spans="2:8" ht="15" x14ac:dyDescent="0.25">
      <c r="B25" s="4">
        <f t="shared" si="6"/>
        <v>2000000</v>
      </c>
      <c r="C25" s="5">
        <f t="shared" si="0"/>
        <v>12566370.614359172</v>
      </c>
      <c r="D25" s="5">
        <f t="shared" si="2"/>
        <v>3.1020000000044528</v>
      </c>
      <c r="E25" s="5">
        <f t="shared" si="3"/>
        <v>2.4679577135581936E-2</v>
      </c>
      <c r="F25" s="5">
        <f t="shared" si="1"/>
        <v>7.956020997919571E-3</v>
      </c>
      <c r="G25" s="5">
        <f t="shared" si="4"/>
        <v>2276667.0054442119</v>
      </c>
      <c r="H25" s="5">
        <f t="shared" si="5"/>
        <v>1.2403020793236184</v>
      </c>
    </row>
    <row r="26" spans="2:8" ht="15" x14ac:dyDescent="0.25">
      <c r="B26" s="4">
        <f t="shared" si="6"/>
        <v>5000000</v>
      </c>
      <c r="C26" s="5">
        <f t="shared" si="0"/>
        <v>31415926.535897933</v>
      </c>
      <c r="D26" s="5">
        <f t="shared" si="2"/>
        <v>3.1020000000003596</v>
      </c>
      <c r="E26" s="5">
        <f t="shared" si="3"/>
        <v>2.042178752823871E-2</v>
      </c>
      <c r="F26" s="5">
        <f t="shared" si="1"/>
        <v>6.5834260245765126E-3</v>
      </c>
      <c r="G26" s="5">
        <f t="shared" si="4"/>
        <v>9681631.257914396</v>
      </c>
      <c r="H26" s="5">
        <f t="shared" si="5"/>
        <v>1.2406250404305856</v>
      </c>
    </row>
    <row r="27" spans="2:8" ht="15" x14ac:dyDescent="0.25">
      <c r="B27" s="4">
        <f t="shared" si="6"/>
        <v>10000000</v>
      </c>
      <c r="C27" s="5">
        <f t="shared" si="0"/>
        <v>62831853.071795866</v>
      </c>
      <c r="D27" s="5">
        <f t="shared" si="2"/>
        <v>3.1020000000000536</v>
      </c>
      <c r="E27" s="5">
        <f t="shared" si="3"/>
        <v>1.7694359506375677E-2</v>
      </c>
      <c r="F27" s="5">
        <f t="shared" si="1"/>
        <v>5.704177790578779E-3</v>
      </c>
      <c r="G27" s="5">
        <f t="shared" si="4"/>
        <v>28942615.583857518</v>
      </c>
      <c r="H27" s="5">
        <f t="shared" si="5"/>
        <v>1.2407532404490029</v>
      </c>
    </row>
    <row r="34" spans="2:8" ht="15" x14ac:dyDescent="0.25">
      <c r="B34" s="3" t="s">
        <v>5</v>
      </c>
      <c r="C34" s="3" t="s">
        <v>6</v>
      </c>
      <c r="D34" s="3" t="s">
        <v>7</v>
      </c>
      <c r="E34" s="3" t="s">
        <v>8</v>
      </c>
      <c r="F34" s="3" t="s">
        <v>9</v>
      </c>
      <c r="G34" s="3" t="s">
        <v>16</v>
      </c>
      <c r="H34" s="3" t="s">
        <v>18</v>
      </c>
    </row>
    <row r="35" spans="2:8" ht="15" x14ac:dyDescent="0.25">
      <c r="B35" s="3">
        <v>0</v>
      </c>
      <c r="C35" s="5">
        <f t="shared" ref="C35:C57" si="7">2*PI()*B35</f>
        <v>0</v>
      </c>
      <c r="D35" s="5">
        <f>$K$8+G35^($K$7-2)*($K$9-$K$8)*COS($K$7*H35)</f>
        <v>3.6280000000000001</v>
      </c>
      <c r="E35" s="8">
        <f>G35^(-$K$7/2)*($K$9-$K$8)*SIN($K$7*H35)</f>
        <v>0</v>
      </c>
      <c r="F35" s="5">
        <f t="shared" ref="F35:F57" si="8">E35/D35</f>
        <v>0</v>
      </c>
      <c r="G35" s="5">
        <f>((1+((C35*$K$10)^(1-$K$6))*(SIN(($K$6*PI())/2)))^2)+((((C35*$K$10)^(1-$K$6))*(COS(($K$6*PI())/2)))^2)</f>
        <v>1</v>
      </c>
      <c r="H35" s="5">
        <f>ATAN(((C35*$K$10)^(1-$K$6)*COS($K$6*(PI()/2)))/(1+(C35*$K$10)^(1-$K$6)*SIN($K$6*(PI()/2))))</f>
        <v>0</v>
      </c>
    </row>
    <row r="36" spans="2:8" ht="15" x14ac:dyDescent="0.25">
      <c r="B36" s="4">
        <v>5</v>
      </c>
      <c r="C36" s="5">
        <f t="shared" si="7"/>
        <v>31.415926535897931</v>
      </c>
      <c r="D36" s="5">
        <f>$K$8+G36^($K$7-2)*($K$9-$K$8)*COS($K$7*H36)</f>
        <v>3.5933898162293172</v>
      </c>
      <c r="E36" s="8">
        <f>G36^(-$K$7/2)*($K$9-$K$8)*SIN($K$7*H36)</f>
        <v>7.204694648713315E-3</v>
      </c>
      <c r="F36" s="5">
        <f t="shared" si="8"/>
        <v>2.0049855476780639E-3</v>
      </c>
      <c r="G36" s="5">
        <f>((1+((C36*$K$10)^(1-$K$6))*(SIN(($K$6*PI())/2)))^2)+((((C36*$K$10)^(1-$K$6))*(COS(($K$6*PI())/2)))^2)</f>
        <v>1.0398821818136945</v>
      </c>
      <c r="H36" s="5">
        <f>ATAN(((C36*$K$10)^(1-$K$6)*COS($K$6*(PI()/2)))/(1+(C36*$K$10)^(1-$K$6)*SIN($K$6*(PI()/2))))</f>
        <v>5.2549330363416316E-2</v>
      </c>
    </row>
    <row r="37" spans="2:8" ht="15" x14ac:dyDescent="0.25">
      <c r="B37" s="4">
        <v>10</v>
      </c>
      <c r="C37" s="5">
        <f t="shared" si="7"/>
        <v>62.831853071795862</v>
      </c>
      <c r="D37" s="5">
        <f t="shared" ref="D37:D57" si="9">$K$8+G37^($K$7-2)*($K$9-$K$8)*COS($K$7*H37)</f>
        <v>3.5672475089287792</v>
      </c>
      <c r="E37" s="8">
        <f t="shared" ref="E37:E57" si="10">G37^(-$K$7/2)*($K$9-$K$8)*SIN($K$7*H37)</f>
        <v>1.2223404542048457E-2</v>
      </c>
      <c r="F37" s="5">
        <f t="shared" si="8"/>
        <v>3.4265647425510614E-3</v>
      </c>
      <c r="G37" s="5">
        <f t="shared" ref="G37:G57" si="11">((1+((C37*$K$10)^(1-$K$6))*(SIN(($K$6*PI())/2)))^2)+((((C37*$K$10)^(1-$K$6))*(COS(($K$6*PI())/2)))^2)</f>
        <v>1.0729998415662521</v>
      </c>
      <c r="H37" s="5">
        <f t="shared" ref="H37:H57" si="12">ATAN(((C37*$K$10)^(1-$K$6)*COS($K$6*(PI()/2)))/(1+(C37*$K$10)^(1-$K$6)*SIN($K$6*(PI()/2))))</f>
        <v>8.9526896462466934E-2</v>
      </c>
    </row>
    <row r="38" spans="2:8" ht="15" x14ac:dyDescent="0.25">
      <c r="B38" s="4">
        <v>30</v>
      </c>
      <c r="C38" s="5">
        <f t="shared" si="7"/>
        <v>188.49555921538757</v>
      </c>
      <c r="D38" s="5">
        <f t="shared" si="9"/>
        <v>3.4816260613701009</v>
      </c>
      <c r="E38" s="8">
        <f t="shared" si="10"/>
        <v>2.7192566049805723E-2</v>
      </c>
      <c r="F38" s="5">
        <f t="shared" si="8"/>
        <v>7.8103063254026817E-3</v>
      </c>
      <c r="G38" s="5">
        <f t="shared" si="11"/>
        <v>1.2054214155242295</v>
      </c>
      <c r="H38" s="5">
        <f t="shared" si="12"/>
        <v>0.20229992135260969</v>
      </c>
    </row>
    <row r="39" spans="2:8" ht="15" x14ac:dyDescent="0.25">
      <c r="B39" s="4">
        <f>B36*10</f>
        <v>50</v>
      </c>
      <c r="C39" s="5">
        <f t="shared" si="7"/>
        <v>314.15926535897933</v>
      </c>
      <c r="D39" s="5">
        <f t="shared" si="9"/>
        <v>3.4141326905547533</v>
      </c>
      <c r="E39" s="8">
        <f t="shared" si="10"/>
        <v>3.8188785471933009E-2</v>
      </c>
      <c r="F39" s="5">
        <f t="shared" si="8"/>
        <v>1.118550124826221E-2</v>
      </c>
      <c r="G39" s="5">
        <f t="shared" si="11"/>
        <v>1.3480074323912106</v>
      </c>
      <c r="H39" s="5">
        <f t="shared" si="12"/>
        <v>0.28843765094405788</v>
      </c>
    </row>
    <row r="40" spans="2:8" ht="15" x14ac:dyDescent="0.25">
      <c r="B40" s="4">
        <v>100</v>
      </c>
      <c r="C40" s="5">
        <f t="shared" si="7"/>
        <v>628.31853071795865</v>
      </c>
      <c r="D40" s="5">
        <f t="shared" si="9"/>
        <v>3.2984785881356098</v>
      </c>
      <c r="E40" s="8">
        <f t="shared" si="10"/>
        <v>5.6917943707373249E-2</v>
      </c>
      <c r="F40" s="5">
        <f t="shared" si="8"/>
        <v>1.7255817246200414E-2</v>
      </c>
      <c r="G40" s="5">
        <f t="shared" si="11"/>
        <v>1.755349311430968</v>
      </c>
      <c r="H40" s="5">
        <f t="shared" si="12"/>
        <v>0.4456161041877999</v>
      </c>
    </row>
    <row r="41" spans="2:8" ht="15" x14ac:dyDescent="0.25">
      <c r="B41" s="4">
        <v>150</v>
      </c>
      <c r="C41" s="5">
        <f t="shared" si="7"/>
        <v>942.47779607693792</v>
      </c>
      <c r="D41" s="5">
        <f t="shared" si="9"/>
        <v>3.231126659058392</v>
      </c>
      <c r="E41" s="8">
        <f t="shared" si="10"/>
        <v>6.8591531713901199E-2</v>
      </c>
      <c r="F41" s="5">
        <f t="shared" si="8"/>
        <v>2.1228363648823967E-2</v>
      </c>
      <c r="G41" s="5">
        <f t="shared" si="11"/>
        <v>2.2300340578973055</v>
      </c>
      <c r="H41" s="5">
        <f t="shared" si="12"/>
        <v>0.5548080456967277</v>
      </c>
    </row>
    <row r="42" spans="2:8" ht="15" x14ac:dyDescent="0.25">
      <c r="B42" s="4">
        <v>200</v>
      </c>
      <c r="C42" s="5">
        <f t="shared" si="7"/>
        <v>1256.6370614359173</v>
      </c>
      <c r="D42" s="5">
        <f t="shared" si="9"/>
        <v>3.1905477861659191</v>
      </c>
      <c r="E42" s="8">
        <f t="shared" si="10"/>
        <v>7.6327239813159392E-2</v>
      </c>
      <c r="F42" s="5">
        <f t="shared" si="8"/>
        <v>2.3922926384024427E-2</v>
      </c>
      <c r="G42" s="5">
        <f t="shared" si="11"/>
        <v>2.7653283447139971</v>
      </c>
      <c r="H42" s="5">
        <f t="shared" si="12"/>
        <v>0.63572789403031993</v>
      </c>
    </row>
    <row r="43" spans="2:8" ht="15" x14ac:dyDescent="0.25">
      <c r="B43" s="4">
        <v>300</v>
      </c>
      <c r="C43" s="5">
        <f t="shared" si="7"/>
        <v>1884.9555921538758</v>
      </c>
      <c r="D43" s="5">
        <f t="shared" si="9"/>
        <v>3.1483998222584693</v>
      </c>
      <c r="E43" s="8">
        <f t="shared" si="10"/>
        <v>8.5428664164064694E-2</v>
      </c>
      <c r="F43" s="5">
        <f t="shared" si="8"/>
        <v>2.7133994723320561E-2</v>
      </c>
      <c r="G43" s="5">
        <f t="shared" si="11"/>
        <v>3.9983763557577063</v>
      </c>
      <c r="H43" s="5">
        <f t="shared" si="12"/>
        <v>0.74807899238533471</v>
      </c>
    </row>
    <row r="44" spans="2:8" ht="15" x14ac:dyDescent="0.25">
      <c r="B44" s="4">
        <v>500</v>
      </c>
      <c r="C44" s="5">
        <f t="shared" si="7"/>
        <v>3141.5926535897929</v>
      </c>
      <c r="D44" s="5">
        <f t="shared" si="9"/>
        <v>3.1192869877664937</v>
      </c>
      <c r="E44" s="8">
        <f t="shared" si="10"/>
        <v>9.2691171372652092E-2</v>
      </c>
      <c r="F44" s="5">
        <f t="shared" si="8"/>
        <v>2.9715499643404676E-2</v>
      </c>
      <c r="G44" s="5">
        <f t="shared" si="11"/>
        <v>7.0273740152698956</v>
      </c>
      <c r="H44" s="5">
        <f t="shared" si="12"/>
        <v>0.87599309412281789</v>
      </c>
    </row>
    <row r="45" spans="2:8" ht="15" x14ac:dyDescent="0.25">
      <c r="B45" s="4">
        <v>700</v>
      </c>
      <c r="C45" s="5">
        <f t="shared" si="7"/>
        <v>4398.22971502571</v>
      </c>
      <c r="D45" s="5">
        <f t="shared" si="9"/>
        <v>3.110283036452675</v>
      </c>
      <c r="E45" s="8">
        <f t="shared" si="10"/>
        <v>9.4744646672455746E-2</v>
      </c>
      <c r="F45" s="5">
        <f t="shared" si="8"/>
        <v>3.0461744337104912E-2</v>
      </c>
      <c r="G45" s="5">
        <f t="shared" si="11"/>
        <v>10.702894035420506</v>
      </c>
      <c r="H45" s="5">
        <f t="shared" si="12"/>
        <v>0.94755100152940186</v>
      </c>
    </row>
    <row r="46" spans="2:8" ht="15" x14ac:dyDescent="0.25">
      <c r="B46" s="4">
        <v>1000</v>
      </c>
      <c r="C46" s="5">
        <f t="shared" si="7"/>
        <v>6283.1853071795858</v>
      </c>
      <c r="D46" s="5">
        <f t="shared" si="9"/>
        <v>3.1055932672492657</v>
      </c>
      <c r="E46" s="8">
        <f t="shared" si="10"/>
        <v>9.4836082750260522E-2</v>
      </c>
      <c r="F46" s="5">
        <f t="shared" si="8"/>
        <v>3.0537187129549715E-2</v>
      </c>
      <c r="G46" s="5">
        <f t="shared" si="11"/>
        <v>17.262192761947858</v>
      </c>
      <c r="H46" s="5">
        <f t="shared" si="12"/>
        <v>1.0112037204674964</v>
      </c>
    </row>
    <row r="47" spans="2:8" ht="15" x14ac:dyDescent="0.25">
      <c r="B47" s="4">
        <v>2000</v>
      </c>
      <c r="C47" s="5">
        <f t="shared" si="7"/>
        <v>12566.370614359172</v>
      </c>
      <c r="D47" s="5">
        <f t="shared" si="9"/>
        <v>3.1026357801911968</v>
      </c>
      <c r="E47" s="8">
        <f t="shared" si="10"/>
        <v>9.0537865347350213E-2</v>
      </c>
      <c r="F47" s="5">
        <f t="shared" si="8"/>
        <v>2.9180951862087696E-2</v>
      </c>
      <c r="G47" s="5">
        <f t="shared" si="11"/>
        <v>46.579619993747301</v>
      </c>
      <c r="H47" s="5">
        <f t="shared" si="12"/>
        <v>1.1018591917939096</v>
      </c>
    </row>
    <row r="48" spans="2:8" ht="15" x14ac:dyDescent="0.25">
      <c r="B48" s="4">
        <v>3000</v>
      </c>
      <c r="C48" s="5">
        <f t="shared" si="7"/>
        <v>18849.555921538758</v>
      </c>
      <c r="D48" s="5">
        <f t="shared" si="9"/>
        <v>3.1022213835081902</v>
      </c>
      <c r="E48" s="8">
        <f t="shared" si="10"/>
        <v>8.6322632459952559E-2</v>
      </c>
      <c r="F48" s="5">
        <f t="shared" si="8"/>
        <v>2.7826070995079472E-2</v>
      </c>
      <c r="G48" s="5">
        <f t="shared" si="11"/>
        <v>85.327448254764519</v>
      </c>
      <c r="H48" s="5">
        <f t="shared" si="12"/>
        <v>1.1383289081248065</v>
      </c>
    </row>
    <row r="49" spans="2:8" ht="15" x14ac:dyDescent="0.25">
      <c r="B49" s="4">
        <v>10000</v>
      </c>
      <c r="C49" s="5">
        <f t="shared" si="7"/>
        <v>62831.853071795864</v>
      </c>
      <c r="D49" s="5">
        <f t="shared" si="9"/>
        <v>3.1020088470652487</v>
      </c>
      <c r="E49" s="8">
        <f t="shared" si="10"/>
        <v>7.1316576748454458E-2</v>
      </c>
      <c r="F49" s="5">
        <f t="shared" si="8"/>
        <v>2.2990449178094934E-2</v>
      </c>
      <c r="G49" s="5">
        <f t="shared" si="11"/>
        <v>542.47203051575229</v>
      </c>
      <c r="H49" s="5">
        <f t="shared" si="12"/>
        <v>1.2002977578150953</v>
      </c>
    </row>
    <row r="50" spans="2:8" ht="15" x14ac:dyDescent="0.25">
      <c r="B50" s="4">
        <v>100000</v>
      </c>
      <c r="C50" s="5">
        <f t="shared" si="7"/>
        <v>628318.53071795858</v>
      </c>
      <c r="D50" s="5">
        <f t="shared" si="9"/>
        <v>3.1020000165349875</v>
      </c>
      <c r="E50" s="8">
        <f t="shared" si="10"/>
        <v>4.5639408253272992E-2</v>
      </c>
      <c r="F50" s="5">
        <f t="shared" si="8"/>
        <v>1.4712897488715479E-2</v>
      </c>
      <c r="G50" s="5">
        <f t="shared" si="11"/>
        <v>20113.651829978717</v>
      </c>
      <c r="H50" s="5">
        <f t="shared" si="12"/>
        <v>1.2342581421296051</v>
      </c>
    </row>
    <row r="51" spans="2:8" ht="15" x14ac:dyDescent="0.25">
      <c r="B51" s="4">
        <v>500000</v>
      </c>
      <c r="C51" s="5">
        <f t="shared" si="7"/>
        <v>3141592.653589793</v>
      </c>
      <c r="D51" s="5">
        <f t="shared" si="9"/>
        <v>3.1020000002001402</v>
      </c>
      <c r="E51" s="8">
        <f t="shared" si="10"/>
        <v>3.2845963726532784E-2</v>
      </c>
      <c r="F51" s="5">
        <f t="shared" si="8"/>
        <v>1.0588640788012112E-2</v>
      </c>
      <c r="G51" s="5">
        <f t="shared" si="11"/>
        <v>254927.69118204704</v>
      </c>
      <c r="H51" s="5">
        <f t="shared" si="12"/>
        <v>1.2390553031954019</v>
      </c>
    </row>
    <row r="52" spans="2:8" ht="15" x14ac:dyDescent="0.25">
      <c r="B52" s="4">
        <v>1000000</v>
      </c>
      <c r="C52" s="5">
        <f t="shared" si="7"/>
        <v>6283185.307179586</v>
      </c>
      <c r="D52" s="5">
        <f t="shared" si="9"/>
        <v>3.1020000000298587</v>
      </c>
      <c r="E52" s="8">
        <f t="shared" si="10"/>
        <v>2.8475586771830031E-2</v>
      </c>
      <c r="F52" s="5">
        <f t="shared" si="8"/>
        <v>9.1797507322875366E-3</v>
      </c>
      <c r="G52" s="5">
        <f t="shared" si="11"/>
        <v>761742.86802749359</v>
      </c>
      <c r="H52" s="5">
        <f t="shared" si="12"/>
        <v>1.2398451058404625</v>
      </c>
    </row>
    <row r="53" spans="2:8" ht="15" x14ac:dyDescent="0.25">
      <c r="B53" s="4">
        <v>5000000</v>
      </c>
      <c r="C53" s="5">
        <f t="shared" si="7"/>
        <v>31415926.535897933</v>
      </c>
      <c r="D53" s="5">
        <f t="shared" si="9"/>
        <v>3.1020000000003596</v>
      </c>
      <c r="E53" s="8">
        <f t="shared" si="10"/>
        <v>2.042178752823871E-2</v>
      </c>
      <c r="F53" s="5">
        <f t="shared" si="8"/>
        <v>6.5834260245765126E-3</v>
      </c>
      <c r="G53" s="5">
        <f t="shared" si="11"/>
        <v>9681631.257914396</v>
      </c>
      <c r="H53" s="5">
        <f t="shared" si="12"/>
        <v>1.2406250404305856</v>
      </c>
    </row>
    <row r="54" spans="2:8" ht="15" x14ac:dyDescent="0.25">
      <c r="B54" s="4">
        <v>10000000</v>
      </c>
      <c r="C54" s="5">
        <f t="shared" si="7"/>
        <v>62831853.071795866</v>
      </c>
      <c r="D54" s="5">
        <f t="shared" si="9"/>
        <v>3.1020000000000536</v>
      </c>
      <c r="E54" s="8">
        <f t="shared" si="10"/>
        <v>1.7694359506375677E-2</v>
      </c>
      <c r="F54" s="5">
        <f t="shared" si="8"/>
        <v>5.704177790578779E-3</v>
      </c>
      <c r="G54" s="5">
        <f t="shared" si="11"/>
        <v>28942615.583857518</v>
      </c>
      <c r="H54" s="5">
        <f t="shared" si="12"/>
        <v>1.2407532404490029</v>
      </c>
    </row>
    <row r="55" spans="2:8" ht="15" x14ac:dyDescent="0.25">
      <c r="B55" s="4"/>
      <c r="C55" s="5"/>
      <c r="D55" s="5"/>
      <c r="E55" s="5"/>
      <c r="F55" s="5"/>
      <c r="G55" s="5"/>
      <c r="H55" s="5"/>
    </row>
    <row r="56" spans="2:8" ht="15" x14ac:dyDescent="0.25">
      <c r="B56" s="4"/>
      <c r="C56" s="5"/>
      <c r="D56" s="5"/>
      <c r="E56" s="5"/>
      <c r="F56" s="5"/>
      <c r="G56" s="5"/>
      <c r="H56" s="5"/>
    </row>
    <row r="57" spans="2:8" ht="15" x14ac:dyDescent="0.25">
      <c r="B57" s="4"/>
      <c r="C57" s="5"/>
      <c r="D57" s="5"/>
      <c r="E57" s="5"/>
      <c r="F57" s="5"/>
      <c r="G57" s="5"/>
      <c r="H57" s="5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ukol 1</vt:lpstr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student</cp:lastModifiedBy>
  <cp:revision>1</cp:revision>
  <dcterms:modified xsi:type="dcterms:W3CDTF">2026-10-14T16:08:36Z</dcterms:modified>
  <dc:language>cs-CZ</dc:language>
</cp:coreProperties>
</file>
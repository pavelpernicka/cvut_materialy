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loha 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<sst xmlns="http://schemas.openxmlformats.org/spreadsheetml/2006/main" count="49" uniqueCount="46">
  <si>
    <t xml:space="preserve">měření</t>
  </si>
  <si>
    <t xml:space="preserve">t [°C]</t>
  </si>
  <si>
    <t xml:space="preserve">T [K]</t>
  </si>
  <si>
    <t xml:space="preserve">U [V]</t>
  </si>
  <si>
    <t xml:space="preserve">I [mA]</t>
  </si>
  <si>
    <t xml:space="preserve">R [ohm]</t>
  </si>
  <si>
    <t xml:space="preserve">rho [ohm.m]</t>
  </si>
  <si>
    <t xml:space="preserve">gamma [S/m]</t>
  </si>
  <si>
    <t xml:space="preserve">1/T [K^-1]</t>
  </si>
  <si>
    <t xml:space="preserve">ln(gamma)</t>
  </si>
  <si>
    <t xml:space="preserve">Konstanta</t>
  </si>
  <si>
    <t xml:space="preserve">Hodnota</t>
  </si>
  <si>
    <t xml:space="preserve">Jednotka</t>
  </si>
  <si>
    <t xml:space="preserve">q</t>
  </si>
  <si>
    <t xml:space="preserve">C</t>
  </si>
  <si>
    <t xml:space="preserve">Nc</t>
  </si>
  <si>
    <t xml:space="preserve">m^-3</t>
  </si>
  <si>
    <t xml:space="preserve">mu_n</t>
  </si>
  <si>
    <t xml:space="preserve">m^2/(V.s)</t>
  </si>
  <si>
    <t xml:space="preserve">mu_p</t>
  </si>
  <si>
    <t xml:space="preserve">Wg</t>
  </si>
  <si>
    <t xml:space="preserve">eV</t>
  </si>
  <si>
    <t xml:space="preserve">k</t>
  </si>
  <si>
    <t xml:space="preserve">eV/K</t>
  </si>
  <si>
    <t xml:space="preserve">l</t>
  </si>
  <si>
    <t xml:space="preserve">m</t>
  </si>
  <si>
    <t xml:space="preserve">S</t>
  </si>
  <si>
    <t xml:space="preserve">m^2</t>
  </si>
  <si>
    <t xml:space="preserve">prumer gamma 20-80 °C</t>
  </si>
  <si>
    <t xml:space="preserve">[S/m]</t>
  </si>
  <si>
    <t xml:space="preserve">ND</t>
  </si>
  <si>
    <t xml:space="preserve">[m^-3]</t>
  </si>
  <si>
    <t xml:space="preserve">teoretický výpočet – vlastní Si</t>
  </si>
  <si>
    <t xml:space="preserve">t vlastni Si [°C]</t>
  </si>
  <si>
    <t xml:space="preserve">gamma_i [S/m]</t>
  </si>
  <si>
    <t xml:space="preserve">ln(gamma_i)</t>
  </si>
  <si>
    <t xml:space="preserve">grafické určení</t>
  </si>
  <si>
    <t xml:space="preserve">1/Tp z grafu [K^-1]</t>
  </si>
  <si>
    <t xml:space="preserve">zpětný převod</t>
  </si>
  <si>
    <t xml:space="preserve">Tp [K]</t>
  </si>
  <si>
    <t xml:space="preserve">tp [°C]</t>
  </si>
  <si>
    <t xml:space="preserve">početní určení přechodové teploty</t>
  </si>
  <si>
    <t xml:space="preserve">Tp početně</t>
  </si>
  <si>
    <t xml:space="preserve">[K]</t>
  </si>
  <si>
    <t xml:space="preserve">tp početně</t>
  </si>
  <si>
    <t xml:space="preserve">[°C]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</si>
</sst>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\ _K_č_-;\-* #,##0.00\ _K_č_-;_-* \-??\ _K_č_-;_-@_-"/>
    <numFmt numFmtId="166" formatCode="_-* #,##0\ _K_č_-;\-* #,##0\ _K_č_-;_-* &quot;- &quot;_K_č_-;_-@_-"/>
    <numFmt numFmtId="167" formatCode="_-* #,##0.00&quot; Kč&quot;_-;\-* #,##0.00&quot; Kč&quot;_-;_-* \-??&quot; Kč&quot;_-;_-@_-"/>
    <numFmt numFmtId="168" formatCode="_-* #,##0&quot; Kč&quot;_-;\-* #,##0&quot; Kč&quot;_-;_-* &quot;- Kč&quot;_-;_-@_-"/>
    <numFmt numFmtId="169" formatCode="0\ %"/>
    <numFmt numFmtId="170" formatCode="0.00"/>
    <numFmt numFmtId="171" formatCode="0.000"/>
    <numFmt numFmtId="172" formatCode="0.000E+00"/>
    <numFmt numFmtId="173" formatCode="0.000000"/>
    <numFmt numFmtId="174" formatCode="0.0000"/>
    <numFmt numFmtId="175" formatCode="0.00E+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1"/>
      <name val="Calibri"/>
      <family val="0"/>
      <charset val="1"/>
    </font>
    <font>
      <b val="true"/>
      <sz val="10"/>
      <name val="Arial"/>
      <family val="2"/>
      <charset val="1"/>
    </font>
    <font>
      <sz val="6.75"/>
      <color rgb="FF000000"/>
      <name val="Calibri"/>
      <family val="2"/>
    </font>
    <font>
      <b val="true"/>
      <sz val="8.25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CC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5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4C7DC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420E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'Uloha 6'!$A$2</c:f>
              <c:strCache>
                <c:ptCount val="1"/>
                <c:pt idx="0">
                  <c:v>t [°C]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'Uloha 6'!$I$4:$I$15</c:f>
              <c:numCache>
                <c:formatCode>0.0000</c:formatCode>
                <c:ptCount val="12"/>
                <c:pt idx="0">
                  <c:v>2.24034572909645</c:v>
                </c:pt>
                <c:pt idx="1">
                  <c:v>2.11871084687861</c:v>
                </c:pt>
                <c:pt idx="2">
                  <c:v>2.048259185928</c:v>
                </c:pt>
                <c:pt idx="3">
                  <c:v>1.98685944046952</c:v>
                </c:pt>
                <c:pt idx="4">
                  <c:v>1.94301881564622</c:v>
                </c:pt>
                <c:pt idx="5">
                  <c:v>1.90301260538958</c:v>
                </c:pt>
                <c:pt idx="6">
                  <c:v>1.85566607881221</c:v>
                </c:pt>
                <c:pt idx="7">
                  <c:v>1.76557240467143</c:v>
                </c:pt>
                <c:pt idx="8">
                  <c:v>1.7265996497067</c:v>
                </c:pt>
                <c:pt idx="9">
                  <c:v>1.71997179926432</c:v>
                </c:pt>
                <c:pt idx="10">
                  <c:v>1.65814317626278</c:v>
                </c:pt>
                <c:pt idx="11">
                  <c:v>1.61107154142135</c:v>
                </c:pt>
              </c:numCache>
            </c:numRef>
          </c:yVal>
          <c:smooth val="1"/>
        </c:ser>
        <c:axId val="37265051"/>
        <c:axId val="38771258"/>
      </c:scatterChart>
      <c:valAx>
        <c:axId val="3726505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25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1/T [K^-1]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8771258"/>
        <c:crosses val="autoZero"/>
        <c:crossBetween val="midCat"/>
      </c:valAx>
      <c:valAx>
        <c:axId val="3877125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25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ln(gamma) [-]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726505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631789486843"/>
          <c:y val="0.0457273030336704"/>
          <c:w val="0.623038939933746"/>
          <c:h val="0.915768418713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'Uloha 6'!$E$22</c:f>
              <c:strCache>
                <c:ptCount val="1"/>
                <c:pt idx="0">
                  <c:v>ln(gamma_i)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'Uloha 6'!$D$23:$D$33</c:f>
              <c:strCache>
                <c:ptCount val="11"/>
                <c:pt idx="0">
                  <c:v>0,002363</c:v>
                </c:pt>
                <c:pt idx="1">
                  <c:v>0,002231</c:v>
                </c:pt>
                <c:pt idx="2">
                  <c:v>0,002113</c:v>
                </c:pt>
                <c:pt idx="3">
                  <c:v>0,002007</c:v>
                </c:pt>
                <c:pt idx="4">
                  <c:v>0,001911</c:v>
                </c:pt>
                <c:pt idx="5">
                  <c:v>0,001824</c:v>
                </c:pt>
                <c:pt idx="6">
                  <c:v>0,001745</c:v>
                </c:pt>
                <c:pt idx="7">
                  <c:v>0,001672</c:v>
                </c:pt>
                <c:pt idx="8">
                  <c:v>0,001605</c:v>
                </c:pt>
                <c:pt idx="9">
                  <c:v>0,001543</c:v>
                </c:pt>
                <c:pt idx="10">
                  <c:v>0,001486</c:v>
                </c:pt>
              </c:strCache>
            </c:strRef>
          </c:xVal>
          <c:yVal>
            <c:numRef>
              <c:f>'Uloha 6'!$E$23:$E$33</c:f>
              <c:numCache>
                <c:formatCode>0.0000</c:formatCode>
                <c:ptCount val="11"/>
                <c:pt idx="0">
                  <c:v>-1.60227518943124</c:v>
                </c:pt>
                <c:pt idx="1">
                  <c:v>-0.753207417084811</c:v>
                </c:pt>
                <c:pt idx="2">
                  <c:v>0.00613534497456305</c:v>
                </c:pt>
                <c:pt idx="3">
                  <c:v>0.689261830605213</c:v>
                </c:pt>
                <c:pt idx="4">
                  <c:v>1.30709858235164</c:v>
                </c:pt>
                <c:pt idx="5">
                  <c:v>1.86857879375815</c:v>
                </c:pt>
                <c:pt idx="6">
                  <c:v>2.38107704482213</c:v>
                </c:pt>
                <c:pt idx="7">
                  <c:v>2.85073501743889</c:v>
                </c:pt>
                <c:pt idx="8">
                  <c:v>3.28270880706467</c:v>
                </c:pt>
                <c:pt idx="9">
                  <c:v>3.68135899955816</c:v>
                </c:pt>
                <c:pt idx="10">
                  <c:v>4.05039839263892</c:v>
                </c:pt>
              </c:numCache>
            </c:numRef>
          </c:yVal>
          <c:smooth val="0"/>
        </c:ser>
        <c:axId val="31772182"/>
        <c:axId val="14028247"/>
      </c:scatterChart>
      <c:valAx>
        <c:axId val="31772182"/>
        <c:scaling>
          <c:orientation val="minMax"/>
        </c:scaling>
        <c:delete val="0"/>
        <c:axPos val="b"/>
        <c:numFmt formatCode="0.00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028247"/>
        <c:crosses val="autoZero"/>
        <c:crossBetween val="between"/>
      </c:valAx>
      <c:valAx>
        <c:axId val="140282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77218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'Uloha 6'!$I$2</c:f>
              <c:strCache>
                <c:ptCount val="1"/>
                <c:pt idx="0">
                  <c:v>ln(gamma)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17"/>
            <c:dispRSqr val="0"/>
            <c:dispEq val="0"/>
          </c:trendline>
          <c:xVal>
            <c:numRef>
              <c:f>'Uloha 6'!$H$3:$H$15</c:f>
              <c:numCache>
                <c:formatCode>0.000000</c:formatCode>
                <c:ptCount val="13"/>
                <c:pt idx="0">
                  <c:v>0.00341122292341805</c:v>
                </c:pt>
                <c:pt idx="1">
                  <c:v>0.0032986970146792</c:v>
                </c:pt>
                <c:pt idx="2">
                  <c:v>0.00319335781574325</c:v>
                </c:pt>
                <c:pt idx="3">
                  <c:v>0.00309453814018258</c:v>
                </c:pt>
                <c:pt idx="4">
                  <c:v>0.0030016509079994</c:v>
                </c:pt>
                <c:pt idx="5">
                  <c:v>0.00291417747340813</c:v>
                </c:pt>
                <c:pt idx="6">
                  <c:v>0.00283165793572137</c:v>
                </c:pt>
                <c:pt idx="7">
                  <c:v>0.00275368305108082</c:v>
                </c:pt>
                <c:pt idx="8">
                  <c:v>0.00267988744472732</c:v>
                </c:pt>
                <c:pt idx="9">
                  <c:v>0.00260994388620645</c:v>
                </c:pt>
                <c:pt idx="10">
                  <c:v>0.00254355843825512</c:v>
                </c:pt>
                <c:pt idx="11">
                  <c:v>0.0024804663276696</c:v>
                </c:pt>
                <c:pt idx="12">
                  <c:v>0.0024204284158296</c:v>
                </c:pt>
              </c:numCache>
            </c:numRef>
          </c:xVal>
          <c:yVal>
            <c:numRef>
              <c:f>'Uloha 6'!$I$3:$I$15</c:f>
              <c:numCache>
                <c:formatCode>0.0000</c:formatCode>
                <c:ptCount val="13"/>
                <c:pt idx="1">
                  <c:v>2.24034572909645</c:v>
                </c:pt>
                <c:pt idx="2">
                  <c:v>2.11871084687861</c:v>
                </c:pt>
                <c:pt idx="3">
                  <c:v>2.048259185928</c:v>
                </c:pt>
                <c:pt idx="4">
                  <c:v>1.98685944046952</c:v>
                </c:pt>
                <c:pt idx="5">
                  <c:v>1.94301881564622</c:v>
                </c:pt>
                <c:pt idx="6">
                  <c:v>1.90301260538958</c:v>
                </c:pt>
                <c:pt idx="7">
                  <c:v>1.85566607881221</c:v>
                </c:pt>
                <c:pt idx="8">
                  <c:v>1.76557240467143</c:v>
                </c:pt>
                <c:pt idx="9">
                  <c:v>1.7265996497067</c:v>
                </c:pt>
                <c:pt idx="10">
                  <c:v>1.71997179926432</c:v>
                </c:pt>
                <c:pt idx="11">
                  <c:v>1.65814317626278</c:v>
                </c:pt>
                <c:pt idx="12">
                  <c:v>1.61107154142135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'Uloha 6'!$E$22</c:f>
              <c:strCache>
                <c:ptCount val="1"/>
                <c:pt idx="0">
                  <c:v>ln(gamma_i)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Pt>
            <c:idx val="4"/>
            <c:marker>
              <c:symbol val="diamond"/>
              <c:size val="8"/>
              <c:spPr>
                <a:solidFill>
                  <a:srgbClr val="ff420e"/>
                </a:solidFill>
              </c:spPr>
            </c:marker>
          </c:dPt>
          <c:dLbls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'Uloha 6'!$D$23:$D$33</c:f>
              <c:numCache>
                <c:formatCode>0.000000</c:formatCode>
                <c:ptCount val="11"/>
                <c:pt idx="0">
                  <c:v>0.00236322816967978</c:v>
                </c:pt>
                <c:pt idx="1">
                  <c:v>0.00223139573803414</c:v>
                </c:pt>
                <c:pt idx="2">
                  <c:v>0.00211349466342598</c:v>
                </c:pt>
                <c:pt idx="3">
                  <c:v>0.00200742748168222</c:v>
                </c:pt>
                <c:pt idx="4">
                  <c:v>0.00191149765841537</c:v>
                </c:pt>
                <c:pt idx="5">
                  <c:v>0.00182431816108729</c:v>
                </c:pt>
                <c:pt idx="6">
                  <c:v>0.00174474395882404</c:v>
                </c:pt>
                <c:pt idx="7">
                  <c:v>0.0016718214494692</c:v>
                </c:pt>
                <c:pt idx="8">
                  <c:v>0.00160475006017813</c:v>
                </c:pt>
                <c:pt idx="9">
                  <c:v>0.00154285273470647</c:v>
                </c:pt>
                <c:pt idx="10">
                  <c:v>0.00148555299710317</c:v>
                </c:pt>
              </c:numCache>
            </c:numRef>
          </c:xVal>
          <c:yVal>
            <c:numRef>
              <c:f>'Uloha 6'!$E$23:$E$33</c:f>
              <c:numCache>
                <c:formatCode>0.0000</c:formatCode>
                <c:ptCount val="11"/>
                <c:pt idx="0">
                  <c:v>-1.60227518943124</c:v>
                </c:pt>
                <c:pt idx="1">
                  <c:v>-0.753207417084811</c:v>
                </c:pt>
                <c:pt idx="2">
                  <c:v>0.00613534497456305</c:v>
                </c:pt>
                <c:pt idx="3">
                  <c:v>0.689261830605213</c:v>
                </c:pt>
                <c:pt idx="4">
                  <c:v>1.30709858235164</c:v>
                </c:pt>
                <c:pt idx="5">
                  <c:v>1.86857879375815</c:v>
                </c:pt>
                <c:pt idx="6">
                  <c:v>2.38107704482213</c:v>
                </c:pt>
                <c:pt idx="7">
                  <c:v>2.85073501743889</c:v>
                </c:pt>
                <c:pt idx="8">
                  <c:v>3.28270880706467</c:v>
                </c:pt>
                <c:pt idx="9">
                  <c:v>3.68135899955816</c:v>
                </c:pt>
                <c:pt idx="10">
                  <c:v>4.05039839263892</c:v>
                </c:pt>
              </c:numCache>
            </c:numRef>
          </c:yVal>
          <c:smooth val="0"/>
        </c:ser>
        <c:axId val="10168362"/>
        <c:axId val="98385308"/>
      </c:scatterChart>
      <c:valAx>
        <c:axId val="10168362"/>
        <c:scaling>
          <c:orientation val="minMax"/>
        </c:scaling>
        <c:delete val="0"/>
        <c:axPos val="b"/>
        <c:numFmt formatCode="0.00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8385308"/>
        <c:crosses val="autoZero"/>
        <c:crossBetween val="between"/>
      </c:valAx>
      <c:valAx>
        <c:axId val="983853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16836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11</xdr:row>
      <xdr:rowOff>0</xdr:rowOff>
    </xdr:from>
    <xdr:to>
      <xdr:col>16</xdr:col>
      <xdr:colOff>179280</xdr:colOff>
      <xdr:row>30</xdr:row>
      <xdr:rowOff>59400</xdr:rowOff>
    </xdr:to>
    <xdr:graphicFrame>
      <xdr:nvGraphicFramePr>
        <xdr:cNvPr id="1" name="Chart"/>
        <xdr:cNvGraphicFramePr/>
      </xdr:nvGraphicFramePr>
      <xdr:xfrm>
        <a:off x="9996120" y="2095560"/>
        <a:ext cx="5256000" cy="367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105120</xdr:colOff>
      <xdr:row>31</xdr:row>
      <xdr:rowOff>47520</xdr:rowOff>
    </xdr:from>
    <xdr:to>
      <xdr:col>17</xdr:col>
      <xdr:colOff>177840</xdr:colOff>
      <xdr:row>48</xdr:row>
      <xdr:rowOff>47520</xdr:rowOff>
    </xdr:to>
    <xdr:graphicFrame>
      <xdr:nvGraphicFramePr>
        <xdr:cNvPr id="2" name=""/>
        <xdr:cNvGraphicFramePr/>
      </xdr:nvGraphicFramePr>
      <xdr:xfrm>
        <a:off x="10101240" y="5952960"/>
        <a:ext cx="576108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856800</xdr:colOff>
      <xdr:row>43</xdr:row>
      <xdr:rowOff>59400</xdr:rowOff>
    </xdr:from>
    <xdr:to>
      <xdr:col>8</xdr:col>
      <xdr:colOff>680760</xdr:colOff>
      <xdr:row>67</xdr:row>
      <xdr:rowOff>131040</xdr:rowOff>
    </xdr:to>
    <xdr:graphicFrame>
      <xdr:nvGraphicFramePr>
        <xdr:cNvPr id="3" name=""/>
        <xdr:cNvGraphicFramePr/>
      </xdr:nvGraphicFramePr>
      <xdr:xfrm rot="21584400">
        <a:off x="856800" y="8250840"/>
        <a:ext cx="8221680" cy="46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A8" colorId="64" zoomScale="110" zoomScaleNormal="110" zoomScalePageLayoutView="100" workbookViewId="0">
      <selection pane="topLeft" activeCell="H29" activeCellId="0" sqref="H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1.14"/>
    <col collapsed="false" customWidth="true" hidden="false" outlineLevel="0" max="9" min="2" style="1" width="14"/>
    <col collapsed="false" customWidth="true" hidden="false" outlineLevel="0" max="11" min="11" style="1" width="14"/>
    <col collapsed="false" customWidth="true" hidden="false" outlineLevel="0" max="13" min="12" style="1" width="16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K2" s="3" t="s">
        <v>10</v>
      </c>
      <c r="L2" s="3" t="s">
        <v>11</v>
      </c>
      <c r="M2" s="3" t="s">
        <v>12</v>
      </c>
    </row>
    <row r="3" customFormat="false" ht="15" hidden="false" customHeight="false" outlineLevel="0" collapsed="false">
      <c r="A3" s="1" t="n">
        <v>20</v>
      </c>
      <c r="B3" s="4" t="n">
        <f aca="false">A3+273.15</f>
        <v>293.15</v>
      </c>
      <c r="C3" s="5" t="n">
        <v>0</v>
      </c>
      <c r="D3" s="5" t="n">
        <v>0</v>
      </c>
      <c r="E3" s="6" t="e">
        <f aca="false">C3/(D3/1000)</f>
        <v>#DIV/0!</v>
      </c>
      <c r="F3" s="6" t="e">
        <f aca="false">E3*$L$10/$L$9</f>
        <v>#DIV/0!</v>
      </c>
      <c r="G3" s="6" t="e">
        <f aca="false">1/F3</f>
        <v>#DIV/0!</v>
      </c>
      <c r="H3" s="7" t="n">
        <f aca="false">1/B3</f>
        <v>0.00341122292341805</v>
      </c>
      <c r="I3" s="8" t="e">
        <f aca="false">LN(G3)</f>
        <v>#DIV/0!</v>
      </c>
      <c r="K3" s="9" t="s">
        <v>13</v>
      </c>
      <c r="L3" s="9" t="n">
        <v>1.602E-019</v>
      </c>
      <c r="M3" s="9" t="s">
        <v>14</v>
      </c>
    </row>
    <row r="4" customFormat="false" ht="15" hidden="false" customHeight="false" outlineLevel="0" collapsed="false">
      <c r="A4" s="1" t="n">
        <v>30</v>
      </c>
      <c r="B4" s="4" t="n">
        <f aca="false">A4+273.15</f>
        <v>303.15</v>
      </c>
      <c r="C4" s="5" t="n">
        <v>0.1583</v>
      </c>
      <c r="D4" s="5" t="n">
        <v>0.62753</v>
      </c>
      <c r="E4" s="6" t="n">
        <f aca="false">C4/(D4/1000)</f>
        <v>252.258856150304</v>
      </c>
      <c r="F4" s="6" t="n">
        <f aca="false">E4*$L$10/$L$9</f>
        <v>0.106421704938409</v>
      </c>
      <c r="G4" s="6" t="n">
        <f aca="false">1/F4</f>
        <v>9.39657939683208</v>
      </c>
      <c r="H4" s="7" t="n">
        <f aca="false">1/B4</f>
        <v>0.0032986970146792</v>
      </c>
      <c r="I4" s="8" t="n">
        <f aca="false">LN(G4)</f>
        <v>2.24034572909645</v>
      </c>
      <c r="K4" s="9" t="s">
        <v>15</v>
      </c>
      <c r="L4" s="9" t="n">
        <v>2.8E+025</v>
      </c>
      <c r="M4" s="9" t="s">
        <v>16</v>
      </c>
    </row>
    <row r="5" customFormat="false" ht="15" hidden="false" customHeight="false" outlineLevel="0" collapsed="false">
      <c r="A5" s="1" t="n">
        <v>40</v>
      </c>
      <c r="B5" s="4" t="n">
        <f aca="false">A5+273.15</f>
        <v>313.15</v>
      </c>
      <c r="C5" s="5" t="n">
        <v>0.1583</v>
      </c>
      <c r="D5" s="5" t="n">
        <v>0.55566</v>
      </c>
      <c r="E5" s="6" t="n">
        <f aca="false">C5/(D5/1000)</f>
        <v>284.886441349026</v>
      </c>
      <c r="F5" s="6" t="n">
        <f aca="false">E5*$L$10/$L$9</f>
        <v>0.120186467444121</v>
      </c>
      <c r="G5" s="6" t="n">
        <f aca="false">1/F5</f>
        <v>8.32040429564119</v>
      </c>
      <c r="H5" s="7" t="n">
        <f aca="false">1/B5</f>
        <v>0.00319335781574325</v>
      </c>
      <c r="I5" s="8" t="n">
        <f aca="false">LN(G5)</f>
        <v>2.11871084687861</v>
      </c>
      <c r="K5" s="9" t="s">
        <v>17</v>
      </c>
      <c r="L5" s="9" t="n">
        <v>0.135</v>
      </c>
      <c r="M5" s="9" t="s">
        <v>18</v>
      </c>
    </row>
    <row r="6" customFormat="false" ht="15" hidden="false" customHeight="false" outlineLevel="0" collapsed="false">
      <c r="A6" s="1" t="n">
        <v>50</v>
      </c>
      <c r="B6" s="4" t="n">
        <f aca="false">A6+273.15</f>
        <v>323.15</v>
      </c>
      <c r="C6" s="5" t="n">
        <v>0.1583</v>
      </c>
      <c r="D6" s="5" t="n">
        <v>0.51786</v>
      </c>
      <c r="E6" s="6" t="n">
        <f aca="false">C6/(D6/1000)</f>
        <v>305.68107210443</v>
      </c>
      <c r="F6" s="6" t="n">
        <f aca="false">E6*$L$10/$L$9</f>
        <v>0.128959202294056</v>
      </c>
      <c r="G6" s="6" t="n">
        <f aca="false">1/F6</f>
        <v>7.75439039797852</v>
      </c>
      <c r="H6" s="7" t="n">
        <f aca="false">1/B6</f>
        <v>0.00309453814018258</v>
      </c>
      <c r="I6" s="8" t="n">
        <f aca="false">LN(G6)</f>
        <v>2.048259185928</v>
      </c>
      <c r="K6" s="9" t="s">
        <v>19</v>
      </c>
      <c r="L6" s="9" t="n">
        <v>0.048</v>
      </c>
      <c r="M6" s="9" t="s">
        <v>18</v>
      </c>
    </row>
    <row r="7" customFormat="false" ht="15" hidden="false" customHeight="false" outlineLevel="0" collapsed="false">
      <c r="A7" s="1" t="n">
        <v>60</v>
      </c>
      <c r="B7" s="4" t="n">
        <f aca="false">A7+273.15</f>
        <v>333.15</v>
      </c>
      <c r="C7" s="5" t="n">
        <v>0.1583</v>
      </c>
      <c r="D7" s="5" t="n">
        <v>0.48702</v>
      </c>
      <c r="E7" s="6" t="n">
        <f aca="false">C7/(D7/1000)</f>
        <v>325.037986119667</v>
      </c>
      <c r="F7" s="6" t="n">
        <f aca="false">E7*$L$10/$L$9</f>
        <v>0.137125400394234</v>
      </c>
      <c r="G7" s="6" t="n">
        <f aca="false">1/F7</f>
        <v>7.29259493226644</v>
      </c>
      <c r="H7" s="7" t="n">
        <f aca="false">1/B7</f>
        <v>0.0030016509079994</v>
      </c>
      <c r="I7" s="8" t="n">
        <f aca="false">LN(G7)</f>
        <v>1.98685944046952</v>
      </c>
      <c r="K7" s="9" t="s">
        <v>20</v>
      </c>
      <c r="L7" s="9" t="n">
        <v>1.11</v>
      </c>
      <c r="M7" s="9" t="s">
        <v>21</v>
      </c>
    </row>
    <row r="8" customFormat="false" ht="15" hidden="false" customHeight="false" outlineLevel="0" collapsed="false">
      <c r="A8" s="1" t="n">
        <v>70</v>
      </c>
      <c r="B8" s="4" t="n">
        <f aca="false">A8+273.15</f>
        <v>343.15</v>
      </c>
      <c r="C8" s="5" t="n">
        <v>0.1583</v>
      </c>
      <c r="D8" s="5" t="n">
        <v>0.46613</v>
      </c>
      <c r="E8" s="6" t="n">
        <f aca="false">C8/(D8/1000)</f>
        <v>339.604831270247</v>
      </c>
      <c r="F8" s="6" t="n">
        <f aca="false">E8*$L$10/$L$9</f>
        <v>0.143270788192135</v>
      </c>
      <c r="G8" s="6" t="n">
        <f aca="false">1/F8</f>
        <v>6.97978989728832</v>
      </c>
      <c r="H8" s="7" t="n">
        <f aca="false">1/B8</f>
        <v>0.00291417747340813</v>
      </c>
      <c r="I8" s="8" t="n">
        <f aca="false">LN(G8)</f>
        <v>1.94301881564622</v>
      </c>
      <c r="K8" s="9" t="s">
        <v>22</v>
      </c>
      <c r="L8" s="9" t="n">
        <v>8.617333262E-005</v>
      </c>
      <c r="M8" s="9" t="s">
        <v>23</v>
      </c>
    </row>
    <row r="9" customFormat="false" ht="15" hidden="false" customHeight="false" outlineLevel="0" collapsed="false">
      <c r="A9" s="1" t="n">
        <v>80</v>
      </c>
      <c r="B9" s="4" t="n">
        <f aca="false">A9+273.15</f>
        <v>353.15</v>
      </c>
      <c r="C9" s="5" t="n">
        <v>0.1583</v>
      </c>
      <c r="D9" s="5" t="n">
        <v>0.44785</v>
      </c>
      <c r="E9" s="6" t="n">
        <f aca="false">C9/(D9/1000)</f>
        <v>353.466562465111</v>
      </c>
      <c r="F9" s="6" t="n">
        <f aca="false">E9*$L$10/$L$9</f>
        <v>0.149118706039969</v>
      </c>
      <c r="G9" s="6" t="n">
        <f aca="false">1/F9</f>
        <v>6.70606677429167</v>
      </c>
      <c r="H9" s="7" t="n">
        <f aca="false">1/B9</f>
        <v>0.00283165793572137</v>
      </c>
      <c r="I9" s="8" t="n">
        <f aca="false">LN(G9)</f>
        <v>1.90301260538958</v>
      </c>
      <c r="K9" s="9" t="s">
        <v>24</v>
      </c>
      <c r="L9" s="9" t="n">
        <v>0.016</v>
      </c>
      <c r="M9" s="9" t="s">
        <v>25</v>
      </c>
    </row>
    <row r="10" customFormat="false" ht="15" hidden="false" customHeight="false" outlineLevel="0" collapsed="false">
      <c r="A10" s="1" t="n">
        <v>90</v>
      </c>
      <c r="B10" s="4" t="n">
        <f aca="false">A10+273.15</f>
        <v>363.15</v>
      </c>
      <c r="C10" s="5" t="n">
        <v>0.1583</v>
      </c>
      <c r="D10" s="5" t="n">
        <v>0.42714</v>
      </c>
      <c r="E10" s="6" t="n">
        <f aca="false">C10/(D10/1000)</f>
        <v>370.604485648733</v>
      </c>
      <c r="F10" s="6" t="n">
        <f aca="false">E10*$L$10/$L$9</f>
        <v>0.156348767383059</v>
      </c>
      <c r="G10" s="6" t="n">
        <f aca="false">1/F10</f>
        <v>6.39595704358812</v>
      </c>
      <c r="H10" s="7" t="n">
        <f aca="false">1/B10</f>
        <v>0.00275368305108082</v>
      </c>
      <c r="I10" s="8" t="n">
        <f aca="false">LN(G10)</f>
        <v>1.85566607881221</v>
      </c>
      <c r="K10" s="9" t="s">
        <v>26</v>
      </c>
      <c r="L10" s="9" t="n">
        <v>6.75E-006</v>
      </c>
      <c r="M10" s="9" t="s">
        <v>27</v>
      </c>
    </row>
    <row r="11" customFormat="false" ht="15" hidden="false" customHeight="false" outlineLevel="0" collapsed="false">
      <c r="A11" s="1" t="n">
        <v>100</v>
      </c>
      <c r="B11" s="4" t="n">
        <f aca="false">A11+273.15</f>
        <v>373.15</v>
      </c>
      <c r="C11" s="5" t="n">
        <v>0.1583</v>
      </c>
      <c r="D11" s="5" t="n">
        <v>0.39034</v>
      </c>
      <c r="E11" s="6" t="n">
        <f aca="false">C11/(D11/1000)</f>
        <v>405.543884818363</v>
      </c>
      <c r="F11" s="6" t="n">
        <f aca="false">E11*$L$10/$L$9</f>
        <v>0.171088826407747</v>
      </c>
      <c r="G11" s="6" t="n">
        <f aca="false">1/F11</f>
        <v>5.84491705856204</v>
      </c>
      <c r="H11" s="7" t="n">
        <f aca="false">1/B11</f>
        <v>0.00267988744472732</v>
      </c>
      <c r="I11" s="8" t="n">
        <f aca="false">LN(G11)</f>
        <v>1.76557240467143</v>
      </c>
    </row>
    <row r="12" customFormat="false" ht="15" hidden="false" customHeight="false" outlineLevel="0" collapsed="false">
      <c r="A12" s="1" t="n">
        <v>110</v>
      </c>
      <c r="B12" s="4" t="n">
        <f aca="false">A12+273.15</f>
        <v>383.15</v>
      </c>
      <c r="C12" s="5" t="n">
        <v>0.1583</v>
      </c>
      <c r="D12" s="5" t="n">
        <v>0.37542</v>
      </c>
      <c r="E12" s="6" t="n">
        <f aca="false">C12/(D12/1000)</f>
        <v>421.66107293165</v>
      </c>
      <c r="F12" s="6" t="n">
        <f aca="false">E12*$L$10/$L$9</f>
        <v>0.17788826514304</v>
      </c>
      <c r="G12" s="6" t="n">
        <f aca="false">1/F12</f>
        <v>5.62150628202429</v>
      </c>
      <c r="H12" s="7" t="n">
        <f aca="false">1/B12</f>
        <v>0.00260994388620645</v>
      </c>
      <c r="I12" s="8" t="n">
        <f aca="false">LN(G12)</f>
        <v>1.7265996497067</v>
      </c>
    </row>
    <row r="13" customFormat="false" ht="15" hidden="false" customHeight="false" outlineLevel="0" collapsed="false">
      <c r="A13" s="1" t="n">
        <v>120</v>
      </c>
      <c r="B13" s="4" t="n">
        <f aca="false">A13+273.15</f>
        <v>393.15</v>
      </c>
      <c r="C13" s="5" t="n">
        <v>0.1583</v>
      </c>
      <c r="D13" s="5" t="n">
        <v>0.37294</v>
      </c>
      <c r="E13" s="6" t="n">
        <f aca="false">C13/(D13/1000)</f>
        <v>424.465061403979</v>
      </c>
      <c r="F13" s="6" t="n">
        <f aca="false">E13*$L$10/$L$9</f>
        <v>0.179071197779804</v>
      </c>
      <c r="G13" s="6" t="n">
        <f aca="false">1/F13</f>
        <v>5.58437097868557</v>
      </c>
      <c r="H13" s="7" t="n">
        <f aca="false">1/B13</f>
        <v>0.00254355843825512</v>
      </c>
      <c r="I13" s="8" t="n">
        <f aca="false">LN(G13)</f>
        <v>1.71997179926432</v>
      </c>
    </row>
    <row r="14" customFormat="false" ht="15" hidden="false" customHeight="false" outlineLevel="0" collapsed="false">
      <c r="A14" s="1" t="n">
        <v>130</v>
      </c>
      <c r="B14" s="4" t="n">
        <f aca="false">A14+273.15</f>
        <v>403.15</v>
      </c>
      <c r="C14" s="5" t="n">
        <v>0.1583</v>
      </c>
      <c r="D14" s="5" t="n">
        <v>0.35058</v>
      </c>
      <c r="E14" s="6" t="n">
        <f aca="false">C14/(D14/1000)</f>
        <v>451.537452222032</v>
      </c>
      <c r="F14" s="6" t="n">
        <f aca="false">E14*$L$10/$L$9</f>
        <v>0.19049236265617</v>
      </c>
      <c r="G14" s="6" t="n">
        <f aca="false">1/F14</f>
        <v>5.24955429213168</v>
      </c>
      <c r="H14" s="7" t="n">
        <f aca="false">1/B14</f>
        <v>0.0024804663276696</v>
      </c>
      <c r="I14" s="8" t="n">
        <f aca="false">LN(G14)</f>
        <v>1.65814317626278</v>
      </c>
    </row>
    <row r="15" customFormat="false" ht="15" hidden="false" customHeight="false" outlineLevel="0" collapsed="false">
      <c r="A15" s="1" t="n">
        <v>140</v>
      </c>
      <c r="B15" s="4" t="n">
        <f aca="false">A15+273.15</f>
        <v>413.15</v>
      </c>
      <c r="C15" s="5" t="n">
        <v>0.1583</v>
      </c>
      <c r="D15" s="5" t="n">
        <v>0.33446</v>
      </c>
      <c r="E15" s="6" t="n">
        <f aca="false">C15/(D15/1000)</f>
        <v>473.300245171321</v>
      </c>
      <c r="F15" s="6" t="n">
        <f aca="false">E15*$L$10/$L$9</f>
        <v>0.199673540931651</v>
      </c>
      <c r="G15" s="6" t="n">
        <f aca="false">1/F15</f>
        <v>5.00817482043003</v>
      </c>
      <c r="H15" s="7" t="n">
        <f aca="false">1/B15</f>
        <v>0.0024204284158296</v>
      </c>
      <c r="I15" s="8" t="n">
        <f aca="false">LN(G15)</f>
        <v>1.61107154142135</v>
      </c>
    </row>
    <row r="18" customFormat="false" ht="15" hidden="false" customHeight="false" outlineLevel="0" collapsed="false">
      <c r="A18" s="1" t="s">
        <v>28</v>
      </c>
      <c r="B18" s="10" t="n">
        <f aca="false">AVERAGE(G4:G9)</f>
        <v>7.74163761571637</v>
      </c>
      <c r="C18" s="1" t="s">
        <v>29</v>
      </c>
    </row>
    <row r="19" customFormat="false" ht="15" hidden="false" customHeight="false" outlineLevel="0" collapsed="false">
      <c r="A19" s="1" t="s">
        <v>30</v>
      </c>
      <c r="B19" s="1" t="n">
        <f aca="false">B18/($L$3*$L$5)</f>
        <v>3.57961696754814E+020</v>
      </c>
      <c r="C19" s="1" t="s">
        <v>31</v>
      </c>
    </row>
    <row r="21" customFormat="false" ht="15" hidden="false" customHeight="false" outlineLevel="0" collapsed="false">
      <c r="A21" s="2" t="s">
        <v>32</v>
      </c>
      <c r="B21" s="2"/>
      <c r="C21" s="2"/>
      <c r="D21" s="2"/>
      <c r="E21" s="2"/>
    </row>
    <row r="22" customFormat="false" ht="15" hidden="false" customHeight="false" outlineLevel="0" collapsed="false">
      <c r="A22" s="3" t="s">
        <v>33</v>
      </c>
      <c r="B22" s="3" t="s">
        <v>2</v>
      </c>
      <c r="C22" s="3" t="s">
        <v>34</v>
      </c>
      <c r="D22" s="3" t="s">
        <v>8</v>
      </c>
      <c r="E22" s="3" t="s">
        <v>35</v>
      </c>
    </row>
    <row r="23" customFormat="false" ht="15" hidden="false" customHeight="false" outlineLevel="0" collapsed="false">
      <c r="A23" s="1" t="n">
        <v>150</v>
      </c>
      <c r="B23" s="1" t="n">
        <f aca="false">A23+273.15</f>
        <v>423.15</v>
      </c>
      <c r="C23" s="6" t="n">
        <f aca="false">$L$3*$L$4*($L$5+$L$6)*EXP(-$L$7/(2*$L$8*B23))</f>
        <v>0.201437687331975</v>
      </c>
      <c r="D23" s="7" t="n">
        <f aca="false">1/B23</f>
        <v>0.00236322816967978</v>
      </c>
      <c r="E23" s="8" t="n">
        <f aca="false">LN(C23)</f>
        <v>-1.60227518943124</v>
      </c>
    </row>
    <row r="24" customFormat="false" ht="15" hidden="false" customHeight="false" outlineLevel="0" collapsed="false">
      <c r="A24" s="1" t="n">
        <v>175</v>
      </c>
      <c r="B24" s="1" t="n">
        <f aca="false">A24+273.15</f>
        <v>448.15</v>
      </c>
      <c r="C24" s="6" t="n">
        <f aca="false">$L$3*$L$4*($L$5+$L$6)*EXP(-$L$7/(2*$L$8*B24))</f>
        <v>0.470853903335019</v>
      </c>
      <c r="D24" s="7" t="n">
        <f aca="false">1/B24</f>
        <v>0.00223139573803414</v>
      </c>
      <c r="E24" s="8" t="n">
        <f aca="false">LN(C24)</f>
        <v>-0.753207417084811</v>
      </c>
    </row>
    <row r="25" customFormat="false" ht="15" hidden="false" customHeight="false" outlineLevel="0" collapsed="false">
      <c r="A25" s="1" t="n">
        <v>200</v>
      </c>
      <c r="B25" s="1" t="n">
        <f aca="false">A25+273.15</f>
        <v>473.15</v>
      </c>
      <c r="C25" s="6" t="n">
        <f aca="false">$L$3*$L$4*($L$5+$L$6)*EXP(-$L$7/(2*$L$8*B25))</f>
        <v>1.00615420475423</v>
      </c>
      <c r="D25" s="7" t="n">
        <f aca="false">1/B25</f>
        <v>0.00211349466342598</v>
      </c>
      <c r="E25" s="8" t="n">
        <f aca="false">LN(C25)</f>
        <v>0.00613534497456305</v>
      </c>
    </row>
    <row r="26" customFormat="false" ht="15" hidden="false" customHeight="false" outlineLevel="0" collapsed="false">
      <c r="A26" s="1" t="n">
        <v>225</v>
      </c>
      <c r="B26" s="1" t="n">
        <f aca="false">A26+273.15</f>
        <v>498.15</v>
      </c>
      <c r="C26" s="6" t="n">
        <f aca="false">$L$3*$L$4*($L$5+$L$6)*EXP(-$L$7/(2*$L$8*B26))</f>
        <v>1.99224437650277</v>
      </c>
      <c r="D26" s="7" t="n">
        <f aca="false">1/B26</f>
        <v>0.00200742748168222</v>
      </c>
      <c r="E26" s="8" t="n">
        <f aca="false">LN(C26)</f>
        <v>0.689261830605213</v>
      </c>
    </row>
    <row r="27" customFormat="false" ht="15" hidden="false" customHeight="false" outlineLevel="0" collapsed="false">
      <c r="A27" s="1" t="n">
        <v>250</v>
      </c>
      <c r="B27" s="1" t="n">
        <f aca="false">A27+273.15</f>
        <v>523.15</v>
      </c>
      <c r="C27" s="6" t="n">
        <f aca="false">$L$3*$L$4*($L$5+$L$6)*EXP(-$L$7/(2*$L$8*B27))</f>
        <v>3.69543613901848</v>
      </c>
      <c r="D27" s="7" t="n">
        <f aca="false">1/B27</f>
        <v>0.00191149765841537</v>
      </c>
      <c r="E27" s="8" t="n">
        <f aca="false">LN(C27)</f>
        <v>1.30709858235164</v>
      </c>
    </row>
    <row r="28" customFormat="false" ht="15" hidden="false" customHeight="false" outlineLevel="0" collapsed="false">
      <c r="A28" s="1" t="n">
        <v>275</v>
      </c>
      <c r="B28" s="1" t="n">
        <f aca="false">A28+273.15</f>
        <v>548.15</v>
      </c>
      <c r="C28" s="6" t="n">
        <f aca="false">$L$3*$L$4*($L$5+$L$6)*EXP(-$L$7/(2*$L$8*B28))</f>
        <v>6.47908174146069</v>
      </c>
      <c r="D28" s="7" t="n">
        <f aca="false">1/B28</f>
        <v>0.00182431816108729</v>
      </c>
      <c r="E28" s="8" t="n">
        <f aca="false">LN(C28)</f>
        <v>1.86857879375815</v>
      </c>
    </row>
    <row r="29" customFormat="false" ht="15" hidden="false" customHeight="false" outlineLevel="0" collapsed="false">
      <c r="A29" s="1" t="n">
        <v>300</v>
      </c>
      <c r="B29" s="1" t="n">
        <f aca="false">A29+273.15</f>
        <v>573.15</v>
      </c>
      <c r="C29" s="6" t="n">
        <f aca="false">$L$3*$L$4*($L$5+$L$6)*EXP(-$L$7/(2*$L$8*B29))</f>
        <v>10.8165464978467</v>
      </c>
      <c r="D29" s="7" t="n">
        <f aca="false">1/B29</f>
        <v>0.00174474395882404</v>
      </c>
      <c r="E29" s="8" t="n">
        <f aca="false">LN(C29)</f>
        <v>2.38107704482213</v>
      </c>
    </row>
    <row r="30" customFormat="false" ht="15" hidden="false" customHeight="false" outlineLevel="0" collapsed="false">
      <c r="A30" s="1" t="n">
        <v>325</v>
      </c>
      <c r="B30" s="1" t="n">
        <f aca="false">A30+273.15</f>
        <v>598.15</v>
      </c>
      <c r="C30" s="6" t="n">
        <f aca="false">$L$3*$L$4*($L$5+$L$6)*EXP(-$L$7/(2*$L$8*B30))</f>
        <v>17.3004933327122</v>
      </c>
      <c r="D30" s="7" t="n">
        <f aca="false">1/B30</f>
        <v>0.0016718214494692</v>
      </c>
      <c r="E30" s="8" t="n">
        <f aca="false">LN(C30)</f>
        <v>2.85073501743889</v>
      </c>
    </row>
    <row r="31" customFormat="false" ht="15" hidden="false" customHeight="false" outlineLevel="0" collapsed="false">
      <c r="A31" s="1" t="n">
        <v>350</v>
      </c>
      <c r="B31" s="1" t="n">
        <f aca="false">A31+273.15</f>
        <v>623.15</v>
      </c>
      <c r="C31" s="6" t="n">
        <f aca="false">$L$3*$L$4*($L$5+$L$6)*EXP(-$L$7/(2*$L$8*B31))</f>
        <v>26.6478589304792</v>
      </c>
      <c r="D31" s="7" t="n">
        <f aca="false">1/B31</f>
        <v>0.00160475006017813</v>
      </c>
      <c r="E31" s="8" t="n">
        <f aca="false">LN(C31)</f>
        <v>3.28270880706467</v>
      </c>
    </row>
    <row r="32" customFormat="false" ht="15" hidden="false" customHeight="false" outlineLevel="0" collapsed="false">
      <c r="A32" s="1" t="n">
        <v>375</v>
      </c>
      <c r="B32" s="1" t="n">
        <f aca="false">A32+273.15</f>
        <v>648.15</v>
      </c>
      <c r="C32" s="6" t="n">
        <f aca="false">$L$3*$L$4*($L$5+$L$6)*EXP(-$L$7/(2*$L$8*B32))</f>
        <v>39.7003101322524</v>
      </c>
      <c r="D32" s="7" t="n">
        <f aca="false">1/B32</f>
        <v>0.00154285273470647</v>
      </c>
      <c r="E32" s="8" t="n">
        <f aca="false">LN(C32)</f>
        <v>3.68135899955816</v>
      </c>
    </row>
    <row r="33" customFormat="false" ht="15" hidden="false" customHeight="false" outlineLevel="0" collapsed="false">
      <c r="A33" s="1" t="n">
        <v>400</v>
      </c>
      <c r="B33" s="1" t="n">
        <f aca="false">A33+273.15</f>
        <v>673.15</v>
      </c>
      <c r="C33" s="6" t="n">
        <f aca="false">$L$3*$L$4*($L$5+$L$6)*EXP(-$L$7/(2*$L$8*B33))</f>
        <v>57.4203283253983</v>
      </c>
      <c r="D33" s="7" t="n">
        <f aca="false">1/B33</f>
        <v>0.00148555299710317</v>
      </c>
      <c r="E33" s="8" t="n">
        <f aca="false">LN(C33)</f>
        <v>4.05039839263892</v>
      </c>
    </row>
    <row r="35" customFormat="false" ht="15" hidden="false" customHeight="false" outlineLevel="0" collapsed="false">
      <c r="A35" s="11" t="s">
        <v>36</v>
      </c>
      <c r="B35" s="11"/>
      <c r="C35" s="11"/>
    </row>
    <row r="36" customFormat="false" ht="15" hidden="false" customHeight="false" outlineLevel="0" collapsed="false">
      <c r="A36" s="1" t="s">
        <v>37</v>
      </c>
      <c r="B36" s="12" t="n">
        <v>0.001911</v>
      </c>
      <c r="C36" s="1" t="s">
        <v>38</v>
      </c>
    </row>
    <row r="37" customFormat="false" ht="15" hidden="false" customHeight="false" outlineLevel="0" collapsed="false">
      <c r="A37" s="1" t="s">
        <v>39</v>
      </c>
      <c r="B37" s="1" t="n">
        <f aca="false">1/B36</f>
        <v>523.286237571952</v>
      </c>
    </row>
    <row r="38" customFormat="false" ht="15" hidden="false" customHeight="false" outlineLevel="0" collapsed="false">
      <c r="A38" s="1" t="s">
        <v>40</v>
      </c>
      <c r="B38" s="1" t="n">
        <f aca="false">B37-273.15</f>
        <v>250.136237571952</v>
      </c>
    </row>
    <row r="40" customFormat="false" ht="15" hidden="false" customHeight="false" outlineLevel="0" collapsed="false">
      <c r="A40" s="13" t="s">
        <v>41</v>
      </c>
      <c r="B40" s="13"/>
      <c r="C40" s="13"/>
    </row>
    <row r="41" customFormat="false" ht="15" hidden="false" customHeight="false" outlineLevel="0" collapsed="false">
      <c r="A41" s="14" t="s">
        <v>42</v>
      </c>
      <c r="B41" s="15" t="n">
        <f aca="false">$L$7/(2*$L$8*LN(($L$3*$L$4*($L$5+$L$6))/$B$18))</f>
        <v>556.583615329452</v>
      </c>
      <c r="C41" s="16" t="s">
        <v>43</v>
      </c>
    </row>
    <row r="42" customFormat="false" ht="15" hidden="false" customHeight="false" outlineLevel="0" collapsed="false">
      <c r="A42" s="14" t="s">
        <v>44</v>
      </c>
      <c r="B42" s="15" t="n">
        <f aca="false">B41-273.15</f>
        <v>283.433615329452</v>
      </c>
      <c r="C42" s="16" t="s">
        <v>45</v>
      </c>
    </row>
    <row r="43" customFormat="false" ht="15" hidden="false" customHeight="false" outlineLevel="0" collapsed="false">
      <c r="A43" s="14"/>
      <c r="B43" s="15"/>
      <c r="C43" s="16"/>
    </row>
  </sheetData>
  <mergeCells count="4">
    <mergeCell ref="A1:I1"/>
    <mergeCell ref="A21:E21"/>
    <mergeCell ref="A35:C35"/>
    <mergeCell ref="A40:C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2026-10-07T18:07:34Z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